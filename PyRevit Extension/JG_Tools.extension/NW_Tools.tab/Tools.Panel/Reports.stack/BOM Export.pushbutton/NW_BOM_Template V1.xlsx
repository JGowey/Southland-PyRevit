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southlandind-my.sharepoint.com/personal/jgowey_southlandind_com/Documents/Desktop/"/>
    </mc:Choice>
  </mc:AlternateContent>
  <xr:revisionPtr revIDLastSave="7" documentId="8_{9BC19C0A-48A4-4EE3-A0DC-57C7FC1056AA}" xr6:coauthVersionLast="47" xr6:coauthVersionMax="47" xr10:uidLastSave="{288AA65D-96F1-4EB7-990D-8E399CE93316}"/>
  <bookViews>
    <workbookView xWindow="-33360" yWindow="12525" windowWidth="28800" windowHeight="17145" activeTab="2" xr2:uid="{E18E625C-A16E-453D-9169-0FA3EE170596}"/>
  </bookViews>
  <sheets>
    <sheet name="BOM" sheetId="3" r:id="rId1"/>
    <sheet name="Cut List" sheetId="4" r:id="rId2"/>
    <sheet name="Data" sheetId="1" r:id="rId3"/>
  </sheets>
  <definedNames>
    <definedName name="_xlnm._FilterDatabase" localSheetId="2" hidden="1">Data!$A$1:$U$584</definedName>
    <definedName name="Slicer_Area">#N/A</definedName>
    <definedName name="Slicer_Area1">#N/A</definedName>
    <definedName name="Slicer_Description">#N/A</definedName>
    <definedName name="Slicer_Description1">#N/A</definedName>
    <definedName name="Slicer_Install_Type">#N/A</definedName>
    <definedName name="Slicer_Length_ft_in">#N/A</definedName>
    <definedName name="Slicer_Material">#N/A</definedName>
    <definedName name="Slicer_Service">#N/A</definedName>
    <definedName name="Slicer_Size">#N/A</definedName>
    <definedName name="Slicer_Size1">#N/A</definedName>
    <definedName name="Slicer_Spool">#N/A</definedName>
  </definedNames>
  <calcPr calcId="191029"/>
  <pivotCaches>
    <pivotCache cacheId="73"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<sst xmlns="http://schemas.openxmlformats.org/spreadsheetml/2006/main" count="47" uniqueCount="27">
  <si>
    <t>Category</t>
  </si>
  <si>
    <t>Family</t>
  </si>
  <si>
    <t>Type</t>
  </si>
  <si>
    <t>ItemNumber</t>
  </si>
  <si>
    <t>Description</t>
  </si>
  <si>
    <t>Size</t>
  </si>
  <si>
    <t>Length_ft</t>
  </si>
  <si>
    <t>Length_ft_in</t>
  </si>
  <si>
    <t>Count</t>
  </si>
  <si>
    <t>Sorting</t>
  </si>
  <si>
    <t>Item count</t>
  </si>
  <si>
    <t>Model</t>
  </si>
  <si>
    <t>Area</t>
  </si>
  <si>
    <t>Material</t>
  </si>
  <si>
    <t>Comments</t>
  </si>
  <si>
    <t>Spool</t>
  </si>
  <si>
    <t>Service</t>
  </si>
  <si>
    <t>Hanger Number</t>
  </si>
  <si>
    <t>Install Type</t>
  </si>
  <si>
    <t>Length</t>
  </si>
  <si>
    <t>Length (ft)</t>
  </si>
  <si>
    <t>Row Labels</t>
  </si>
  <si>
    <t>(blank)</t>
  </si>
  <si>
    <t>Grand Total</t>
  </si>
  <si>
    <t>Total Count</t>
  </si>
  <si>
    <t>Set to (Blank)</t>
  </si>
  <si>
    <t>ElementId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</si>
</sst>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Font="1" applyBorder="1"/>
    <xf numFmtId="0" fontId="0" fillId="0" borderId="0" xfId="0" pivotButton="1" applyFont="1" applyBorder="1"/>
    <xf numFmtId="0" fontId="0" fillId="0" borderId="0" xfId="0" applyBorder="1"/>
    <xf numFmtId="0" fontId="0" fillId="0" borderId="0" xfId="0" applyBorder="1" applyAlignment="1">
      <alignment horizontal="left"/>
    </xf>
  </cellXfs>
  <cellStyles count="1">
    <cellStyle name="Normal" xfId="0" builtinId="0"/>
  </cellStyles>
  <dxfs count="60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font>
        <b val="0"/>
      </font>
    </dxf>
    <dxf>
      <font>
        <b val="0"/>
      </font>
    </dxf>
    <dxf>
      <font>
        <b val="0"/>
      </font>
    </dxf>
    <dxf>
      <font>
        <b val="0"/>
      </font>
    </dxf>
    <dxf>
      <font>
        <b val="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font>
        <b val="0"/>
      </font>
    </dxf>
    <dxf>
      <font>
        <b val="0"/>
      </font>
    </dxf>
    <dxf>
      <font>
        <b val="0"/>
      </font>
    </dxf>
    <dxf>
      <font>
        <b val="0"/>
      </font>
    </dxf>
    <dxf>
      <font>
        <b val="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font>
        <b val="0"/>
      </font>
    </dxf>
    <dxf>
      <font>
        <b val="0"/>
      </font>
    </dxf>
    <dxf>
      <font>
        <b val="0"/>
      </font>
    </dxf>
    <dxf>
      <font>
        <b val="0"/>
      </font>
    </dxf>
    <dxf>
      <font>
        <b val="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font>
        <b val="0"/>
      </font>
    </dxf>
    <dxf>
      <font>
        <b val="0"/>
      </font>
    </dxf>
    <dxf>
      <font>
        <b val="0"/>
      </font>
    </dxf>
    <dxf>
      <font>
        <b val="0"/>
      </font>
    </dxf>
    <dxf>
      <font>
        <b val="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font>
        <b val="0"/>
      </font>
    </dxf>
    <dxf>
      <font>
        <b val="0"/>
      </font>
    </dxf>
    <dxf>
      <font>
        <b val="0"/>
      </font>
    </dxf>
    <dxf>
      <font>
        <b val="0"/>
      </font>
    </dxf>
    <dxf>
      <font>
        <b val="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font>
        <b val="0"/>
      </font>
    </dxf>
    <dxf>
      <font>
        <b val="0"/>
      </font>
    </dxf>
    <dxf>
      <font>
        <b val="0"/>
      </font>
    </dxf>
    <dxf>
      <font>
        <b val="0"/>
      </font>
    </dxf>
    <dxf>
      <font>
        <b val="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font>
        <b val="0"/>
      </font>
    </dxf>
    <dxf>
      <font>
        <b val="0"/>
      </font>
    </dxf>
    <dxf>
      <font>
        <b val="0"/>
      </font>
    </dxf>
    <dxf>
      <font>
        <b val="0"/>
      </font>
    </dxf>
    <dxf>
      <font>
        <b val="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val="0"/>
      </font>
    </dxf>
    <dxf>
      <font>
        <b val="0"/>
      </font>
    </dxf>
    <dxf>
      <font>
        <b val="0"/>
      </font>
    </dxf>
    <dxf>
      <font>
        <b val="0"/>
      </font>
    </dxf>
    <dxf>
      <font>
        <b val="0"/>
      </font>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07/relationships/slicerCache" Target="slicerCaches/slicerCache1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drawings/drawing1.xml><?xml version="1.0" encoding="utf-8"?>
<xdr:wsDr xmlns:xdr="http://schemas.openxmlformats.org/drawingml/2006/spreadsheetDrawing" xmlns:a="http://schemas.openxmlformats.org/drawingml/2006/main">
  <xdr:twoCellAnchor editAs="oneCell">
    <xdr:from>
      <xdr:col>19</xdr:col>
      <xdr:colOff>429850</xdr:colOff>
      <xdr:row>0</xdr:row>
      <xdr:rowOff>15432</xdr:rowOff>
    </xdr:from>
    <xdr:to>
      <xdr:col>24</xdr:col>
      <xdr:colOff>134575</xdr:colOff>
      <xdr:row>15</xdr:row>
      <xdr:rowOff>63505</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236919DD-CD1F-4418-C75E-83FD5D98B74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760902" y="19242"/>
              <a:ext cx="2724598" cy="2729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11026</xdr:colOff>
      <xdr:row>0</xdr:row>
      <xdr:rowOff>23704</xdr:rowOff>
    </xdr:from>
    <xdr:to>
      <xdr:col>19</xdr:col>
      <xdr:colOff>325351</xdr:colOff>
      <xdr:row>15</xdr:row>
      <xdr:rowOff>77492</xdr:rowOff>
    </xdr:to>
    <mc:AlternateContent xmlns:mc="http://schemas.openxmlformats.org/markup-compatibility/2006">
      <mc:Choice xmlns:a14="http://schemas.microsoft.com/office/drawing/2010/main" Requires="a14">
        <xdr:graphicFrame macro="">
          <xdr:nvGraphicFramePr>
            <xdr:cNvPr id="5" name="Material">
              <a:extLst>
                <a:ext uri="{FF2B5EF4-FFF2-40B4-BE49-F238E27FC236}">
                  <a16:creationId xmlns:a16="http://schemas.microsoft.com/office/drawing/2014/main" id="{1B2A82B4-F1F0-897F-357E-440682B27D5B}"/>
                </a:ext>
              </a:extLst>
            </xdr:cNvPr>
            <xdr:cNvGraphicFramePr/>
          </xdr:nvGraphicFramePr>
          <xdr:xfrm>
            <a:off x="0" y="0"/>
            <a:ext cx="0" cy="0"/>
          </xdr:xfrm>
          <a:graphic>
            <a:graphicData uri="http://schemas.microsoft.com/office/drawing/2010/slicer">
              <sle:slicer xmlns:sle="http://schemas.microsoft.com/office/drawing/2010/slicer" name="Material"/>
            </a:graphicData>
          </a:graphic>
        </xdr:graphicFrame>
      </mc:Choice>
      <mc:Fallback>
        <xdr:sp macro="" textlink="">
          <xdr:nvSpPr>
            <xdr:cNvPr id="0" name=""/>
            <xdr:cNvSpPr>
              <a:spLocks noTextEdit="1"/>
            </xdr:cNvSpPr>
          </xdr:nvSpPr>
          <xdr:spPr>
            <a:xfrm>
              <a:off x="8921607" y="19894"/>
              <a:ext cx="2729081" cy="2747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600865</xdr:colOff>
      <xdr:row>31</xdr:row>
      <xdr:rowOff>71717</xdr:rowOff>
    </xdr:from>
    <xdr:to>
      <xdr:col>19</xdr:col>
      <xdr:colOff>288445</xdr:colOff>
      <xdr:row>46</xdr:row>
      <xdr:rowOff>135031</xdr:rowOff>
    </xdr:to>
    <mc:AlternateContent xmlns:mc="http://schemas.openxmlformats.org/markup-compatibility/2006">
      <mc:Choice xmlns:a14="http://schemas.microsoft.com/office/drawing/2010/main" Requires="a14">
        <xdr:graphicFrame macro="">
          <xdr:nvGraphicFramePr>
            <xdr:cNvPr id="6" name="Spool">
              <a:extLst>
                <a:ext uri="{FF2B5EF4-FFF2-40B4-BE49-F238E27FC236}">
                  <a16:creationId xmlns:a16="http://schemas.microsoft.com/office/drawing/2014/main" id="{5AC3F7D4-A522-2D76-F160-0BD04BDC668D}"/>
                </a:ext>
              </a:extLst>
            </xdr:cNvPr>
            <xdr:cNvGraphicFramePr/>
          </xdr:nvGraphicFramePr>
          <xdr:xfrm>
            <a:off x="0" y="0"/>
            <a:ext cx="0" cy="0"/>
          </xdr:xfrm>
          <a:graphic>
            <a:graphicData uri="http://schemas.microsoft.com/office/drawing/2010/slicer">
              <sle:slicer xmlns:sle="http://schemas.microsoft.com/office/drawing/2010/slicer" name="Spool"/>
            </a:graphicData>
          </a:graphic>
        </xdr:graphicFrame>
      </mc:Choice>
      <mc:Fallback>
        <xdr:sp macro="" textlink="">
          <xdr:nvSpPr>
            <xdr:cNvPr id="0" name=""/>
            <xdr:cNvSpPr>
              <a:spLocks noTextEdit="1"/>
            </xdr:cNvSpPr>
          </xdr:nvSpPr>
          <xdr:spPr>
            <a:xfrm>
              <a:off x="8902519" y="5627930"/>
              <a:ext cx="2711263" cy="2750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424207</xdr:colOff>
      <xdr:row>15</xdr:row>
      <xdr:rowOff>154030</xdr:rowOff>
    </xdr:from>
    <xdr:to>
      <xdr:col>24</xdr:col>
      <xdr:colOff>125122</xdr:colOff>
      <xdr:row>31</xdr:row>
      <xdr:rowOff>18999</xdr:rowOff>
    </xdr:to>
    <mc:AlternateContent xmlns:mc="http://schemas.openxmlformats.org/markup-compatibility/2006">
      <mc:Choice xmlns:a14="http://schemas.microsoft.com/office/drawing/2010/main" Requires="a14">
        <xdr:graphicFrame macro="">
          <xdr:nvGraphicFramePr>
            <xdr:cNvPr id="7" name="Area">
              <a:extLst>
                <a:ext uri="{FF2B5EF4-FFF2-40B4-BE49-F238E27FC236}">
                  <a16:creationId xmlns:a16="http://schemas.microsoft.com/office/drawing/2014/main" id="{D43CBC96-9A7A-5DB9-AF4F-E4B6D90BEAC2}"/>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11755259" y="2843442"/>
              <a:ext cx="2726503" cy="2737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14846</xdr:colOff>
      <xdr:row>15</xdr:row>
      <xdr:rowOff>129754</xdr:rowOff>
    </xdr:from>
    <xdr:to>
      <xdr:col>19</xdr:col>
      <xdr:colOff>323456</xdr:colOff>
      <xdr:row>31</xdr:row>
      <xdr:rowOff>9963</xdr:rowOff>
    </xdr:to>
    <mc:AlternateContent xmlns:mc="http://schemas.openxmlformats.org/markup-compatibility/2006">
      <mc:Choice xmlns:a14="http://schemas.microsoft.com/office/drawing/2010/main" Requires="a14">
        <xdr:graphicFrame macro="">
          <xdr:nvGraphicFramePr>
            <xdr:cNvPr id="9" name="Service">
              <a:extLst>
                <a:ext uri="{FF2B5EF4-FFF2-40B4-BE49-F238E27FC236}">
                  <a16:creationId xmlns:a16="http://schemas.microsoft.com/office/drawing/2014/main" id="{69A8EADC-2D9D-9CCB-07AC-81C427711BAB}"/>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dr:sp macro="" textlink="">
          <xdr:nvSpPr>
            <xdr:cNvPr id="0" name=""/>
            <xdr:cNvSpPr>
              <a:spLocks noTextEdit="1"/>
            </xdr:cNvSpPr>
          </xdr:nvSpPr>
          <xdr:spPr>
            <a:xfrm>
              <a:off x="8927332" y="2822976"/>
              <a:ext cx="2729081" cy="2747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418757</xdr:colOff>
      <xdr:row>31</xdr:row>
      <xdr:rowOff>86540</xdr:rowOff>
    </xdr:from>
    <xdr:to>
      <xdr:col>24</xdr:col>
      <xdr:colOff>113957</xdr:colOff>
      <xdr:row>46</xdr:row>
      <xdr:rowOff>136519</xdr:rowOff>
    </xdr:to>
    <mc:AlternateContent xmlns:mc="http://schemas.openxmlformats.org/markup-compatibility/2006">
      <mc:Choice xmlns:a14="http://schemas.microsoft.com/office/drawing/2010/main" Requires="a14">
        <xdr:graphicFrame macro="">
          <xdr:nvGraphicFramePr>
            <xdr:cNvPr id="10" name="Install Type">
              <a:extLst>
                <a:ext uri="{FF2B5EF4-FFF2-40B4-BE49-F238E27FC236}">
                  <a16:creationId xmlns:a16="http://schemas.microsoft.com/office/drawing/2014/main" id="{B618F508-ACE4-37BA-EC3D-070C4DB66507}"/>
                </a:ext>
              </a:extLst>
            </xdr:cNvPr>
            <xdr:cNvGraphicFramePr/>
          </xdr:nvGraphicFramePr>
          <xdr:xfrm>
            <a:off x="0" y="0"/>
            <a:ext cx="0" cy="0"/>
          </xdr:xfrm>
          <a:graphic>
            <a:graphicData uri="http://schemas.microsoft.com/office/drawing/2010/slicer">
              <sle:slicer xmlns:sle="http://schemas.microsoft.com/office/drawing/2010/slicer" name="Install Type"/>
            </a:graphicData>
          </a:graphic>
        </xdr:graphicFrame>
      </mc:Choice>
      <mc:Fallback>
        <xdr:sp macro="" textlink="">
          <xdr:nvSpPr>
            <xdr:cNvPr id="0" name=""/>
            <xdr:cNvSpPr>
              <a:spLocks noTextEdit="1"/>
            </xdr:cNvSpPr>
          </xdr:nvSpPr>
          <xdr:spPr>
            <a:xfrm>
              <a:off x="11747904" y="5646563"/>
              <a:ext cx="2720788" cy="273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53227</xdr:colOff>
      <xdr:row>0</xdr:row>
      <xdr:rowOff>11766</xdr:rowOff>
    </xdr:from>
    <xdr:to>
      <xdr:col>14</xdr:col>
      <xdr:colOff>493058</xdr:colOff>
      <xdr:row>46</xdr:row>
      <xdr:rowOff>116542</xdr:rowOff>
    </xdr:to>
    <mc:AlternateContent xmlns:mc="http://schemas.openxmlformats.org/markup-compatibility/2006">
      <mc:Choice xmlns:a14="http://schemas.microsoft.com/office/drawing/2010/main" Requires="a14">
        <xdr:graphicFrame macro="">
          <xdr:nvGraphicFramePr>
            <xdr:cNvPr id="11" name="Description 1">
              <a:extLst>
                <a:ext uri="{FF2B5EF4-FFF2-40B4-BE49-F238E27FC236}">
                  <a16:creationId xmlns:a16="http://schemas.microsoft.com/office/drawing/2014/main" id="{E68EA918-3BFC-8387-163F-9DA507BBA445}"/>
                </a:ext>
              </a:extLst>
            </xdr:cNvPr>
            <xdr:cNvGraphicFramePr/>
          </xdr:nvGraphicFramePr>
          <xdr:xfrm>
            <a:off x="0" y="0"/>
            <a:ext cx="0" cy="0"/>
          </xdr:xfrm>
          <a:graphic>
            <a:graphicData uri="http://schemas.microsoft.com/office/drawing/2010/slicer">
              <sle:slicer xmlns:sle="http://schemas.microsoft.com/office/drawing/2010/slicer" name="Description 1"/>
            </a:graphicData>
          </a:graphic>
        </xdr:graphicFrame>
      </mc:Choice>
      <mc:Fallback>
        <xdr:sp macro="" textlink="">
          <xdr:nvSpPr>
            <xdr:cNvPr id="0" name=""/>
            <xdr:cNvSpPr>
              <a:spLocks noTextEdit="1"/>
            </xdr:cNvSpPr>
          </xdr:nvSpPr>
          <xdr:spPr>
            <a:xfrm>
              <a:off x="4729890" y="15576"/>
              <a:ext cx="4066727" cy="8348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447675</xdr:colOff>
      <xdr:row>2</xdr:row>
      <xdr:rowOff>133350</xdr:rowOff>
    </xdr:from>
    <xdr:to>
      <xdr:col>13</xdr:col>
      <xdr:colOff>495300</xdr:colOff>
      <xdr:row>48</xdr:row>
      <xdr:rowOff>133350</xdr:rowOff>
    </xdr:to>
    <mc:AlternateContent xmlns:mc="http://schemas.openxmlformats.org/markup-compatibility/2006" xmlns:a14="http://schemas.microsoft.com/office/drawing/2010/main">
      <mc:Choice Requires="a14">
        <xdr:graphicFrame macro="">
          <xdr:nvGraphicFramePr>
            <xdr:cNvPr id="2" name="Description">
              <a:extLst>
                <a:ext uri="{FF2B5EF4-FFF2-40B4-BE49-F238E27FC236}">
                  <a16:creationId xmlns:a16="http://schemas.microsoft.com/office/drawing/2014/main" id="{F6C4F8CA-B339-0B9E-EEA3-E9E02DB7B1F4}"/>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7629525" y="323850"/>
              <a:ext cx="4114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24764</xdr:colOff>
      <xdr:row>18</xdr:row>
      <xdr:rowOff>45720</xdr:rowOff>
    </xdr:from>
    <xdr:to>
      <xdr:col>18</xdr:col>
      <xdr:colOff>325754</xdr:colOff>
      <xdr:row>33</xdr:row>
      <xdr:rowOff>53340</xdr:rowOff>
    </xdr:to>
    <mc:AlternateContent xmlns:mc="http://schemas.openxmlformats.org/markup-compatibility/2006">
      <mc:Choice xmlns:a14="http://schemas.microsoft.com/office/drawing/2010/main" Requires="a14">
        <xdr:graphicFrame macro="">
          <xdr:nvGraphicFramePr>
            <xdr:cNvPr id="3" name="Size 1">
              <a:extLst>
                <a:ext uri="{FF2B5EF4-FFF2-40B4-BE49-F238E27FC236}">
                  <a16:creationId xmlns:a16="http://schemas.microsoft.com/office/drawing/2014/main" id="{6560F405-319A-32B2-9203-C95052001FF3}"/>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088629" y="3124200"/>
              <a:ext cx="2739390" cy="272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28574</xdr:colOff>
      <xdr:row>3</xdr:row>
      <xdr:rowOff>0</xdr:rowOff>
    </xdr:from>
    <xdr:to>
      <xdr:col>18</xdr:col>
      <xdr:colOff>323849</xdr:colOff>
      <xdr:row>18</xdr:row>
      <xdr:rowOff>0</xdr:rowOff>
    </xdr:to>
    <mc:AlternateContent xmlns:mc="http://schemas.openxmlformats.org/markup-compatibility/2006">
      <mc:Choice xmlns:a14="http://schemas.microsoft.com/office/drawing/2010/main" Requires="a14">
        <xdr:graphicFrame macro="">
          <xdr:nvGraphicFramePr>
            <xdr:cNvPr id="4" name="Length">
              <a:extLst>
                <a:ext uri="{FF2B5EF4-FFF2-40B4-BE49-F238E27FC236}">
                  <a16:creationId xmlns:a16="http://schemas.microsoft.com/office/drawing/2014/main" id="{5BDCE80A-15D8-EC70-07FE-905FE4AC3F73}"/>
                </a:ext>
              </a:extLst>
            </xdr:cNvPr>
            <xdr:cNvGraphicFramePr/>
          </xdr:nvGraphicFramePr>
          <xdr:xfrm>
            <a:off x="0" y="0"/>
            <a:ext cx="0" cy="0"/>
          </xdr:xfrm>
          <a:graphic>
            <a:graphicData uri="http://schemas.microsoft.com/office/drawing/2010/slicer">
              <sle:slicer xmlns:sle="http://schemas.microsoft.com/office/drawing/2010/slicer" name="Length"/>
            </a:graphicData>
          </a:graphic>
        </xdr:graphicFrame>
      </mc:Choice>
      <mc:Fallback>
        <xdr:sp macro="" textlink="">
          <xdr:nvSpPr>
            <xdr:cNvPr id="0" name=""/>
            <xdr:cNvSpPr>
              <a:spLocks noTextEdit="1"/>
            </xdr:cNvSpPr>
          </xdr:nvSpPr>
          <xdr:spPr>
            <a:xfrm>
              <a:off x="8094344" y="361950"/>
              <a:ext cx="2739390" cy="2714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24764</xdr:colOff>
      <xdr:row>33</xdr:row>
      <xdr:rowOff>110489</xdr:rowOff>
    </xdr:from>
    <xdr:to>
      <xdr:col>18</xdr:col>
      <xdr:colOff>325754</xdr:colOff>
      <xdr:row>48</xdr:row>
      <xdr:rowOff>104774</xdr:rowOff>
    </xdr:to>
    <mc:AlternateContent xmlns:mc="http://schemas.openxmlformats.org/markup-compatibility/2006">
      <mc:Choice xmlns:a14="http://schemas.microsoft.com/office/drawing/2010/main" Requires="a14">
        <xdr:graphicFrame macro="">
          <xdr:nvGraphicFramePr>
            <xdr:cNvPr id="5" name="Area 1">
              <a:extLst>
                <a:ext uri="{FF2B5EF4-FFF2-40B4-BE49-F238E27FC236}">
                  <a16:creationId xmlns:a16="http://schemas.microsoft.com/office/drawing/2014/main" id="{98BF0F6F-A208-E93C-092C-D6E39FDE34A7}"/>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dr:sp macro="" textlink="">
          <xdr:nvSpPr>
            <xdr:cNvPr id="0" name=""/>
            <xdr:cNvSpPr>
              <a:spLocks noTextEdit="1"/>
            </xdr:cNvSpPr>
          </xdr:nvSpPr>
          <xdr:spPr>
            <a:xfrm>
              <a:off x="8088629" y="5899784"/>
              <a:ext cx="2739390" cy="2708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ob Gowey" refreshedDate="46071.363110532409" createdVersion="8" refreshedVersion="8" minRefreshableVersion="3" recordCount="3" xr:uid="{5CB0E4CD-5D4F-4CDD-B834-6981DB68C111}">
  <cacheSource type="worksheet">
    <worksheetSource ref="A1:S1048576" sheet="Data"/>
  </cacheSource>
  <cacheFields count="19">
    <cacheField name="Sorting" numFmtId="0">
      <sharedItems containsNonDate="0" containsString="0" containsBlank="1" containsNumber="1" containsInteger="1" minValue="110" maxValue="990" count="18">
        <m/>
        <n v="260" u="1"/>
        <n v="610" u="1"/>
        <n v="110" u="1"/>
        <n v="150" u="1"/>
        <n v="210" u="1"/>
        <n v="220" u="1"/>
        <n v="660" u="1"/>
        <n v="910" u="1"/>
        <n v="950" u="1"/>
        <n v="960" u="1"/>
        <n v="970" u="1"/>
        <n v="990" u="1"/>
        <n v="620" u="1"/>
        <n v="640" u="1"/>
        <n v="240" u="1"/>
        <n v="650" u="1"/>
        <n v="940" u="1"/>
      </sharedItems>
    </cacheField>
    <cacheField name="Category" numFmtId="0">
      <sharedItems containsNonDate="0" containsString="0" containsBlank="1"/>
    </cacheField>
    <cacheField name="Family" numFmtId="0">
      <sharedItems containsNonDate="0" containsString="0" containsBlank="1"/>
    </cacheField>
    <cacheField name="Type" numFmtId="0">
      <sharedItems containsNonDate="0" containsString="0" containsBlank="1"/>
    </cacheField>
    <cacheField name="ItemNumber" numFmtId="0">
      <sharedItems containsNonDate="0" containsString="0" containsBlank="1"/>
    </cacheField>
    <cacheField name="Description" numFmtId="0">
      <sharedItems containsNonDate="0" containsBlank="1" count="183">
        <m/>
        <s v="260 Clevis Hanger BLK 0.375" u="1"/>
        <s v="All-Thread Rod" u="1"/>
        <s v="21FT-Pipe -  A53B ERW BLK CS STD PE (GRV)" u="1"/>
        <s v="Pipes - Pipe_Charlotte_CastIron_No-Hub_Tee_SI" u="1"/>
        <s v="Elbow - Square - 90" u="1"/>
        <s v="Straight - Square" u="1"/>
        <s v="107V QuickVic Rigid Coupling (GRV)" u="1"/>
        <s v="761 Gear Operator (5-8)" u="1"/>
        <s v="761SE-3 Gear Butterfly Valve" u="1"/>
        <s v="V11 QuickVic 45 Elbow (GRV)" u="1"/>
        <s v="W07 Rigid Coupling (GRV)" u="1"/>
        <s v="W761 Gear Operator (16)" u="1"/>
        <s v="W761SE-3 Gear Butterfly Valve" u="1"/>
        <s v="W77 Flexible Coupling (GRV)" u="1"/>
        <s v="Fitting_Charlotte_Pipe-Cast-Iron_No-Hub_Elbow__SI - Standard" u="1"/>
        <s v="Fishmouth CS STD (GRV)" u="1"/>
        <s v="UBolt-Anvil-Standard-Fig-137 - Carbon Steel, Galvanized" u="1"/>
        <s v="261 Riser Clamp GAL" u="1"/>
        <s v="20' Stock: HSS3X3X3/8" u="1"/>
        <s v="20' Stock: HSS6X4X3/8" u="1"/>
        <s v="40' Stock: HSS6X4X3/8" u="1"/>
        <s v="CS_Angle - L3X3X1/4 2" u="1"/>
        <s v="CS_Angle w 2_holes - L3X3X3/8" u="1"/>
        <s v="SS_Plate - SS_Plate" u="1"/>
        <s v="CS_Plate - CS_Plate" u="1"/>
        <s v="Fitting_G_Duct-Oval_Elbow-Gored_SI - Standard" u="1"/>
        <s v="Ducts - Duct_G_Oval_GoredElbow-StraightTap_SI" u="1"/>
        <s v="Control Panel1 - Control Panel" u="1"/>
        <s v="Flex Ducts - Duct_G_Rect-Flex" u="1"/>
        <s v="Flex Pipes - Pipe_G-Rnd-Flex" u="1"/>
        <s v="Nails - 0.148x2 1/2" u="1"/>
        <s v="Nails - 0.162x2 1/2" u="1"/>
        <s v="ASSY Timber Screw 1/4 x 1 1/2" u="1"/>
        <s v="Hex-Drive Screw - #10x2 1/2" u="1"/>
        <s v="Simpson Strong-Tie_CS14 - Simpson Strong Tie CS14" u="1"/>
        <s v="Simpson Strong-Tie_CS14_Angle - Simpson Strong Tie CS14 Angle" u="1"/>
        <s v="Simpson Strong-Tie_DTT2Z - Simpson Strong Tie DTT2Z" u="1"/>
        <s v="Simpson Strong-Tie_HUC210-2 - Simpson Strong Tie HUC210-2" u="1"/>
        <s v="Simpson Strong-Tie_HUC26-2 - Simpson Strong Tie HU26-2" u="1"/>
        <s v="Simpson Strong-Tie_HUC38-2 - Simpson Strong Tie HU38-2" u="1"/>
        <s v="Conduit Fittings" u="1"/>
        <s v="21FT-Pipe -  316L SS SMLS Tubing (PE)" u="1"/>
        <s v="21FT-Pipe -  A312 304 SS EFW SCH 10S PE (BW)" u="1"/>
        <s v="21FT-Pipe -  A312 304L SS SMLW SCH 10 (PE)" u="1"/>
        <s v="40FT-Pipe -  Copper Type L PE (GRV)" u="1"/>
        <s v="11 45 Elbow (GRV)" u="1"/>
        <s v="1101 90 Elbow (THD)" u="1"/>
        <s v="1102 45 Elbow (THD)" u="1"/>
        <s v="1103 90 Street Elbow (THD)" u="1"/>
        <s v="1104 45 Street Elbow (THD)" u="1"/>
        <s v="150# FF Gasket 1_16th" u="1"/>
        <s v="150# RF Gasket 1_8th" u="1"/>
        <s v="177N QuickVic Flexible Coupling (GRV)" u="1"/>
        <s v="311 Series Petes Plug (M)" u="1"/>
        <s v="311 Series SS Petes Plug (M)" u="1"/>
        <s v="320 Nipple SMLS STD SCH 40 (THD)" u="1"/>
        <s v="339 Nipple WLD STD BLK SCH 40 (THD)" u="1"/>
        <s v="40 Series Ball Valve" u="1"/>
        <s v="410 304L SS 90 LR Elbow (GRV)" u="1"/>
        <s v="420 304L SS Tee (GRV)" u="1"/>
        <s v="425 304L SS Reducing Tee (GRV)" u="1"/>
        <s v="445R 304L SS Flange Adapter Nipple (GRVxFLG)" u="1"/>
        <s v="451 304L SS Eccentric Reducer (GRV)" u="1"/>
        <s v="45F Flanger Adapter Nipple Class 150 (FLGxGRV)" u="1"/>
        <s v="461 Gear Operator (6-8)" u="1"/>
        <s v="461XE3 Gear Butterfly Valve" u="1"/>
        <s v="51 Eccentric Reducer (GRV)" u="1"/>
        <s v="607 QuickVic Rigid Coupling (GRV)" u="1"/>
        <s v="732 Wye Strainer (GRV)" u="1"/>
        <s v="90 Elbow LR SS304 SCH 10 WPW (BW)" u="1"/>
        <s v="DCBF-N Female Connector Bulkhead NPT (CJxF)" u="1"/>
        <s v="DMC-N Male Connector NPT (CJxM)" u="1"/>
        <s v="DT Tee Union (CJ)" u="1"/>
        <s v="NL114 Hex Bushing (MxF)" u="1"/>
        <s v="Pipe -  316L SS SMLS Tubing (PE)" u="1"/>
        <s v="S4034E 90 Elbow 3M (F)" u="1"/>
        <s v="S4034HB Hex Bushing (FxM)" u="1"/>
        <s v="S4034SE 90 Street Elbow 3M (FxM)" u="1"/>
        <s v="STD SMLS 304-304L SS Nipple (THD)" u="1"/>
        <s v="T-585-70-66 Ball Valve" u="1"/>
        <s v="V10 QuickVic 90 Elbow (GRV)" u="1"/>
        <s v="V20 QuickVic Tee (GRV)" u="1"/>
        <s v="W761 Gear Operator (24)" u="1"/>
        <s v="SS 304L 3M Threadolet" u="1"/>
        <s v="Threadolet 3000" u="1"/>
        <s v="150 SS 304 Weld Neck Flange SCH 10 RF" u="1"/>
        <s v="21FT-Pipe -  A312 304L SS WELD SCH 10 (GRV)" u="1"/>
        <s v="21FT-Pipe -  A312 304L SS WELD SCH 10 PE (BWxGRV)" u="1"/>
        <s v="STD Welded 304-304L SS Nipple (THD)" u="1"/>
        <s v="Shop Weld 1_8th (SS)" u="1"/>
        <s v="Trapeze Hanger GAL 1.625 Strut 0.500" u="1"/>
        <s v="Clamp-Strut_Mount-Cushion-HOLDRITE-HR100_HR200" u="1"/>
        <s v="Pipe -  A312 304L SS WELD SCH 10 (GRV)" u="1"/>
        <s v="Pipe -  A312 304L SS WELD SCH 10 PE (BWxGRV)" u="1"/>
        <s v="10' Stock: All Thread Rod 1/2&quot;-13" u="1"/>
        <s v="10' Stock: All Thread Rod 5/8&quot;-11" u="1"/>
        <s v="20' Stock: L2-1/2X2-1/2X5/16 With Holes" u="1"/>
        <s v="P3300T (SLOTTED)" u="1"/>
        <s v="P4100T (SLOTTED)" u="1"/>
        <s v="P4101" u="1"/>
        <s v="Bolt A325 - 5/8 x 2" u="1"/>
        <s v="SDCF Wood Screw - SDCF Wood Screw 1/4 x 6" u="1"/>
        <s v="A325_Heavy_Hex_Bolt_Assembly - A325 1/2&quot;Ø BOLT" u="1"/>
        <s v="ASSY Timber Screw 1/4 x 4" u="1"/>
        <s v="Base Connection Assembly* - Beam 5x9" u="1"/>
        <s v="Gusset Plate Assembly A - 9 Bottom 5.125 Top Beam" u="1"/>
        <s v="Heavy Hex Nut - 1/2&quot;" u="1"/>
        <s v="Heavy Hex Nut - 5/8&quot;" u="1"/>
        <s v="Hex Lag Bolt - 1/2 x 4" u="1"/>
        <s v="Hex Lag Bolt - 3/8 x 4" u="1"/>
        <s v="Hilti Kwik Bolt TZ2 - 1/2 x 6" u="1"/>
        <s v="Standard Flat Washer - 1/2&quot;" u="1"/>
        <s v="Standard Flat Washer - 5/8&quot;" u="1"/>
        <s v="Unistrut 90 Angle Fitting - P1026 - P1026" u="1"/>
        <s v="Unistrut Flat Plate Fitting - P1028" u="1"/>
        <s v="Unistrut Flat Plate Fitting - P1031" u="1"/>
        <s v="Unistrut Flat Plate Fitting - P1036" u="1"/>
        <s v="Unistrut Post Base-P2941" u="1"/>
        <s v="Unistrut U-Shape Plate Fitting - P1047" u="1"/>
        <s v="Wedge Washer MTW 45-8 - Wedge Washer 5/16" u="1"/>
        <s v="Wood Beam - Custom 2x6" u="1"/>
        <s v="Wood Beam - GL 3.125x6" u="1"/>
        <s v="Wood Beam_wVoids - GL 5.125X9" u="1"/>
        <s v="Wood Beam_wVoids 5.125x6 - GL 5.125X6" u="1"/>
        <s v="Brace Connection A - Brace Connection A" u="1"/>
        <s v="Brace Connection B_Tall - Brace Connection B_Tall" u="1"/>
        <s v="PL-3x3x6_W_Hole - PL-3x3x3/8_W/Hole" u="1"/>
        <s v="PL-Plate - PL 17 1/2x5x1/2" u="1"/>
        <s v="PL-Plate - PL 17x12x1" u="1"/>
        <s v="PL-Plate - PL 17x5x1/2" u="1"/>
        <s v="PL-Plate with Center Hole - PL-2 1/2x3x3/8_W/Hole" u="1"/>
        <s v="PL-Plate with Center Hole - PL-3x3x3/8_W/Hole" u="1"/>
        <s v="Slab Anchorage Plate - Slab Anchorage Plate" u="1"/>
        <s v="EATON B2400 - 2 hole strap 1" u="1"/>
        <s v="ACH580-01-124A-4" u="1"/>
        <s v="Control Panel" u="1"/>
        <s v="Pipe -  B88 Copper Type L (PE)" u="1"/>
        <s v="Trapeze Hanger GAL 0.8125 Strut 0.500" u="1"/>
        <s v="21FT-Pipe - 304L Stainless Steel Schedule 10 (BW)" u="1"/>
        <s v="21FT-Pipe - B88 Copper Type L (PE)" u="1"/>
        <s v="150# RF Gasket" u="1"/>
        <s v="45 Elbow Long Radius" u="1"/>
        <s v="603-2 Fitting Adapter (FTGxF) - Wrot" u="1"/>
        <s v="604 Adapter (CxM) - Wrot" u="1"/>
        <s v="607 90 Elbow - Close Rough (CxC) - Wrot" u="1"/>
        <s v="611 Tee (C) - Wrot" u="1"/>
        <s v="90 Elbow Long Radius" u="1"/>
        <s v="CTS 150LB Copper Flange (CxFLG)" u="1"/>
        <s v="Clamp Ring A13MHP" u="1"/>
        <s v="Concentric Reducer" u="1"/>
        <s v="Gasket 40MP-G" u="1"/>
        <s v="LD 141 LH" u="1"/>
        <s v="Petes Plug - Brass" u="1"/>
        <s v="S-585-70" u="1"/>
        <s v="Class 3000 Thredolet" u="1"/>
        <s v="Fishmouth - Stainless Steel - (BW)" u="1"/>
        <s v="1.125in_HR100112" u="1"/>
        <s v="2 1/2 IPS RIGID Strut Clamp" u="1"/>
        <s v="2.125in_HR100212" u="1"/>
        <s v="6 IPS RIGID Strut Clamp" u="1"/>
        <s v="EV250SU-127+AKRX24-EV" u="1"/>
        <s v="Standard" u="1"/>
        <s v="150# Weld Neck Flange - Sch10" u="1"/>
        <s v="Shop Weld 1_16ths (SS)" u="1"/>
        <s v="20' Stock: C5X6.7" u="1"/>
        <s v="20' Stock: HSS4X2X1/4" u="1"/>
        <s v="20' Stock: L2X2X1/4" u="1"/>
        <s v="6x4 Option C" u="1"/>
        <s v="P1000" u="1"/>
        <s v="P1001" u="1"/>
        <s v="P1001C41" u="1"/>
        <s v="P3300" u="1"/>
        <s v="P3301" u="1"/>
        <s v="2.5 Flange Support" u="1"/>
        <s v="PL-3-1/2x1-1/2x1/4" u="1"/>
        <s v="PL-4-1/2x4-1/2x1/4" u="1"/>
        <s v="PL-8x1-5/8x1/4" u="1"/>
        <s v="B3100 - Galv Clevis Hanger 0.375" u="1"/>
        <s v="Shop Weld 3_16ths (CS)" u="1"/>
        <s v="Class 3000 Sockolet" u="1"/>
        <s v="Shop Weld Socket (SS)" u="1"/>
        <s v="Description" u="1"/>
      </sharedItems>
    </cacheField>
    <cacheField name="Size" numFmtId="0">
      <sharedItems containsNonDate="0" containsBlank="1" count="86">
        <m/>
        <s v="16&quot;" u="1"/>
        <s v="3/8&quot;" u="1"/>
        <s v="6&quot;" u="1"/>
        <s v="16&quot;x16&quot;" u="1"/>
        <s v="5-8" u="1"/>
        <s v="6&quot;x6&quot;" u="1"/>
        <s v="16&quot; x 6&quot;" u="1"/>
        <s v="N/A" u="1"/>
        <s v="12&quot;/12&quot;-12&quot;/12&quot;" u="1"/>
        <s v="12&quot;/12&quot;" u="1"/>
        <s v="12&quot;x12&quot;" u="1"/>
        <s v="24&quot;" u="1"/>
        <s v="#10 x 2 1/2&quot;" u="1"/>
        <s v="42&quot;x30&quot;" u="1"/>
        <s v="1/4&quot;" u="1"/>
        <s v="8&quot;" u="1"/>
        <s v="1-1/2&quot;" u="1"/>
        <s v="2-1/2&quot;" u="1"/>
        <s v="3/4&quot;" u="1"/>
        <s v="1-1/4&quot;" u="1"/>
        <s v="1/2&quot;" u="1"/>
        <s v="1&quot;" u="1"/>
        <s v="1/4&quot; x 1-1/2   100" u="1"/>
        <s v="1/4&quot; x 1-1/2&quot;" u="1"/>
        <s v="1-1/4&quot; x 3&quot;" u="1"/>
        <s v="3/4&quot; x 2&quot;" u="1"/>
        <s v="1/2&quot; x 3&quot;" u="1"/>
        <s v="1/2&quot; x 2&quot;" u="1"/>
        <s v="1&quot; x CLOSE" u="1"/>
        <s v="3/4&quot; x CLOSE" u="1"/>
        <s v="1/2&quot; x CLOSE" u="1"/>
        <s v="1/2&quot; x 2-1/2&quot;" u="1"/>
        <s v="8&quot; x 8&quot; x 6&quot;" u="1"/>
        <s v="8&quot; x 6&quot;" u="1"/>
        <s v="6-8" u="1"/>
        <s v="1/4&quot; x 1/2&quot;" u="1"/>
        <s v="1/2&quot; x 1/4&quot;" u="1"/>
        <s v="1/2&quot; x 1-1/2&quot;" u="1"/>
        <s v="1&quot; x 2&quot;" u="1"/>
        <s v="1&quot; x 3&quot;" u="1"/>
        <s v="3/4&quot; x 2-1/2&quot;" u="1"/>
        <s v="1&quot; x 2-1/2&quot;" u="1"/>
        <s v="24&quot; x 6&quot;" u="1"/>
        <s v="6&quot; x 3/4&quot;" u="1"/>
        <s v="8&quot; x 1&quot;" u="1"/>
        <s v="8&quot; x 3/4&quot;" u="1"/>
        <s v="6&quot; x 1/2&quot;" u="1"/>
        <s v="8&quot; x 1/2&quot;" u="1"/>
        <s v="6&quot; x 1/4&quot;" u="1"/>
        <s v="8&quot; x 1/4&quot;" u="1"/>
        <s v="6&quot; x 1&quot;" u="1"/>
        <s v="24&quot; x 1-1/4&quot;" u="1"/>
        <s v="24&quot; x 1/2&quot;" u="1"/>
        <s v="4&quot;" u="1"/>
        <s v="1-5/8&quot;" u="1"/>
        <s v="2.625&quot;" u="1"/>
        <s v="1/2&quot;-13" u="1"/>
        <s v="5/8&quot;-11" u="1"/>
        <s v="P3300T (SLOTTED)" u="1"/>
        <s v="P1000T (SLOTTED)" u="1"/>
        <s v="P4101" u="1"/>
        <s v="1/4&quot; x 6&quot;" u="1"/>
        <s v="Beam 5.5 x 9&quot;" u="1"/>
        <s v="9 Bottom 5.5 Top Beam" u="1"/>
        <s v="5/8&quot;" u="1"/>
        <s v="1/2&quot; x 4&quot;" u="1"/>
        <s v="3/8&quot; x 4&quot;" u="1"/>
        <s v="1/2&quot; x 6&quot;" u="1"/>
        <s v="Custom 2 x 6&quot;" u="1"/>
        <s v="Wood Beam" u="1"/>
        <s v="GL 5.5 x 9&quot;" u="1"/>
        <s v="GL 5.5 x 6&quot;" u="1"/>
        <s v="PL 17 x 12&quot; x 1/2&quot;" u="1"/>
        <s v="3'-4&quot;x2'-6&quot;x10" u="1"/>
        <s v="3'-4&quot;x2'x10" u="1"/>
        <s v="0'-11 7/8&quot;x0'-11 3/4&quot;x0'-4 3/4" u="1"/>
        <s v="2&quot;" u="1"/>
        <s v="13/16&quot;" u="1"/>
        <s v="2&quot; x 2&quot; x 1&quot;" u="1"/>
        <s v="1&quot; x 1/2&quot; x 1&quot;" u="1"/>
        <s v="2-1/2&quot; x 2&quot;" u="1"/>
        <s v="1/2&quot; x 1.5  [Neoprene]" u="1"/>
        <s v="2-1/2&quot; x 1/2&quot;" u="1"/>
        <s v="6&quot; x 2-1/2&quot;" u="1"/>
        <s v="6&quot; x 3&quot;" u="1"/>
      </sharedItems>
    </cacheField>
    <cacheField name="Length_ft" numFmtId="0">
      <sharedItems containsNonDate="0" containsString="0" containsBlank="1"/>
    </cacheField>
    <cacheField name="Length_ft_in" numFmtId="0">
      <sharedItems containsNonDate="0" containsBlank="1" count="111">
        <m/>
        <s v="0'-0&quot;" u="1"/>
        <s v="3'-2 1/4&quot;" u="1"/>
        <s v="18'-2 15/16&quot;" u="1"/>
        <s v="20'-9 3/4&quot;" u="1"/>
        <s v="2'-0 5/8&quot;" u="1"/>
        <s v="11'-6 1/4&quot;" u="1"/>
        <s v="3'-6 1/4&quot;" u="1"/>
        <s v="4'-8&quot;" u="1"/>
        <s v="0'-6&quot;" u="1"/>
        <s v="2'-8&quot;" u="1"/>
        <s v="3'-8&quot;" u="1"/>
        <s v="37'-0&quot;" u="1"/>
        <s v="4'-6&quot;" u="1"/>
        <s v="3'-6&quot;" u="1"/>
        <s v="11'-11 1/2&quot;" u="1"/>
        <s v="9'-1 13/16&quot;" u="1"/>
        <s v="3'-2 7/8&quot;" u="1"/>
        <s v="0'-1 1/8&quot;" u="1"/>
        <s v="0'-4&quot;" u="1"/>
        <s v="0'-3&quot;" u="1"/>
        <s v="0'-1 11/16&quot;" u="1"/>
        <s v="0'-3 1/8&quot;" u="1"/>
        <s v="0'-2&quot;" u="1"/>
        <s v="0'-8 15/16&quot;" u="1"/>
        <s v="0'-8 1/2&quot;" u="1"/>
        <s v="0'-2 1/4&quot;" u="1"/>
        <s v="0'-4 3/16&quot;" u="1"/>
        <s v="0'-2 7/16&quot;" u="1"/>
        <s v="0'-4 3/8&quot;" u="1"/>
        <s v="19'-3 15/16&quot;" u="1"/>
        <s v="1'-8 13/16&quot;" u="1"/>
        <s v="1'-1 3/16&quot;" u="1"/>
        <s v="2'-1 3/8&quot;" u="1"/>
        <s v="19'-7 1/8&quot;" u="1"/>
        <s v="0'-6 7/8&quot;" u="1"/>
        <s v="3'-8 5/8&quot;" u="1"/>
        <s v="1'-1 3/8&quot;" u="1"/>
        <s v="0'-7 3/4&quot;" u="1"/>
        <s v="2'-2 9/16&quot;" u="1"/>
        <s v="1'-2 3/4&quot;" u="1"/>
        <s v="1'-1 1/4&quot;" u="1"/>
        <s v="0'-7 3/16&quot;" u="1"/>
        <s v="39'-11 13/16&quot;" u="1"/>
        <s v="0'-10 5/16&quot;" u="1"/>
        <s v="0'-10&quot;" u="1"/>
        <s v="0'-1 1/16&quot;" u="1"/>
        <s v="0'-1 5/16&quot;" u="1"/>
        <s v="0'-1&quot;" u="1"/>
        <s v="0'-0 3/4&quot;" u="1"/>
        <s v="16'-9 9/16&quot;" u="1"/>
        <s v="18'-10 1/4&quot;" u="1"/>
        <s v="4'-2 5/16&quot;" u="1"/>
        <s v="10'-3 1/8&quot;" u="1"/>
        <s v="2'-6 11/16&quot;" u="1"/>
        <s v="0'-9 7/16&quot;" u="1"/>
        <s v="18'-0 3/16&quot;" u="1"/>
        <s v="0'-11 7/16&quot;" u="1"/>
        <s v="0'-10 9/16&quot;" u="1"/>
        <s v="0'-7 3/8&quot;" u="1"/>
        <s v="2'-9 3/8&quot;" u="1"/>
        <s v="1'-4 13/16&quot;" u="1"/>
        <s v="0'-10 1/2&quot;" u="1"/>
        <s v="2'-1 5/8&quot;" u="1"/>
        <s v="1'-4 1/2&quot;" u="1"/>
        <s v="0'-8&quot;" u="1"/>
        <s v="0'-8 5/8&quot;" u="1"/>
        <s v="0'-8 3/4&quot;" u="1"/>
        <s v="0'-7&quot;" u="1"/>
        <s v="12'-4&quot;" u="1"/>
        <s v="8'-9&quot;" u="1"/>
        <s v="2'-4&quot;" u="1"/>
        <s v="8'-0 1/4&quot;" u="1"/>
        <s v="1'-8 3/4&quot;" u="1"/>
        <s v="0'-1 7/16&quot;" u="1"/>
        <s v="2'-10&quot;" u="1"/>
        <s v="5'-10 1/4&quot;" u="1"/>
        <s v="20'-0&quot;" u="1"/>
        <s v="0'-10 1/8&quot;" u="1"/>
        <s v="0'-5 13/16&quot;" u="1"/>
        <s v="3'-1 3/8&quot;" u="1"/>
        <s v="0'-9 5/8&quot;" u="1"/>
        <s v="0'-2 7/8&quot;" u="1"/>
        <s v="1'-3&quot;" u="1"/>
        <s v="0'-2 13/16&quot;" u="1"/>
        <s v="1'-1 15/16&quot;" u="1"/>
        <s v="0'-1 1/4&quot;" u="1"/>
        <s v="1'-2 15/16&quot;" u="1"/>
        <s v="6'-10 7/8&quot;" u="1"/>
        <s v="0'-3 7/8&quot;" u="1"/>
        <s v="2'-8 11/16&quot;" u="1"/>
        <s v="0'-9 15/16&quot;" u="1"/>
        <s v="0'-2 15/16&quot;" u="1"/>
        <s v="0'-9 3/8&quot;" u="1"/>
        <s v="1'-9 11/16&quot;" u="1"/>
        <s v="1'-8 15/16&quot;" u="1"/>
        <s v="0'-2 5/16&quot;" u="1"/>
        <s v="0'-8 7/16&quot;" u="1"/>
        <s v="0'-6 3/4&quot;" u="1"/>
        <s v="0'-2 1/2&quot;" u="1"/>
        <s v="0'-4 7/16&quot;" u="1"/>
        <s v="1'-7 3/4&quot;" u="1"/>
        <s v="0'-0 9/16&quot;" u="1"/>
        <s v="0'-4 1/8&quot;" u="1"/>
        <s v="2'-1 5/16&quot;" u="1"/>
        <s v="3'-6 7/16&quot;" u="1"/>
        <s v="1'-5 7/8&quot;" u="1"/>
        <s v="1'-2&quot;" u="1"/>
        <s v="2'-10 3/4&quot;" u="1"/>
        <s v="7'-0&quot;" u="1"/>
        <s v="3'-1 7/16&quot;" u="1"/>
      </sharedItems>
    </cacheField>
    <cacheField name="Count" numFmtId="0">
      <sharedItems containsNonDate="0" containsString="0" containsBlank="1" containsNumber="1" containsInteger="1" minValue="1" maxValue="1" count="2">
        <m/>
        <n v="1" u="1"/>
      </sharedItems>
    </cacheField>
    <cacheField name="Item count" numFmtId="0">
      <sharedItems containsNonDate="0" containsString="0" containsBlank="1"/>
    </cacheField>
    <cacheField name="Model" numFmtId="0">
      <sharedItems containsNonDate="0" containsString="0" containsBlank="1" containsNumber="1" containsInteger="1" minValue="585" maxValue="585" count="2">
        <m/>
        <n v="585" u="1"/>
      </sharedItems>
    </cacheField>
    <cacheField name="Area" numFmtId="0">
      <sharedItems containsNonDate="0" containsString="0" containsBlank="1" containsNumber="1" containsInteger="1" minValue="6" maxValue="17" count="3">
        <m/>
        <n v="6" u="1"/>
        <n v="17" u="1"/>
      </sharedItems>
    </cacheField>
    <cacheField name="Material" numFmtId="0">
      <sharedItems containsNonDate="0" containsBlank="1" count="24">
        <m/>
        <s v="Carbon Steel" u="1"/>
        <s v="N/A" u="1"/>
        <s v="Ductile Iron" u="1"/>
        <s v="[SPECIFY MATERIAL AND/OR  COATING]" u="1"/>
        <s v="Galvanized" u="1"/>
        <s v="Stainless Steel 316L" u="1"/>
        <s v="Stainless Steel 304" u="1"/>
        <s v="Stainless Steel 304L" u="1"/>
        <s v="Copper" u="1"/>
        <s v="Malleable Iron (Black)" u="1"/>
        <s v="Aramid Fiber Nitrile Binder" u="1"/>
        <s v="Brass" u="1"/>
        <s v="Stainless Steel 316" u="1"/>
        <s v="Stainless Steel" u="1"/>
        <s v="Bronze" u="1"/>
        <s v="Forged Steel" u="1"/>
        <s v="Galvanized Steel" u="1"/>
        <s v="Plain PL" u="1"/>
        <s v="Aluminum EM" u="1"/>
        <s v="304L Stainless Steel" u="1"/>
        <s v="Fiber" u="1"/>
        <s v="304 Stainless Steel" u="1"/>
        <s v="316L Stainless Steel" u="1"/>
      </sharedItems>
    </cacheField>
    <cacheField name="Comments" numFmtId="0">
      <sharedItems containsNonDate="0" containsString="0" containsBlank="1"/>
    </cacheField>
    <cacheField name="Spool" numFmtId="0">
      <sharedItems containsNonDate="0" containsBlank="1" count="5">
        <m/>
        <s v="Testing" u="1"/>
        <s v="Testing Spool" u="1"/>
        <s v="07.MES-90-01" u="1"/>
        <s v="BOM Testing" u="1"/>
      </sharedItems>
    </cacheField>
    <cacheField name="Service" numFmtId="0">
      <sharedItems containsNonDate="0" containsBlank="1" count="21">
        <m/>
        <s v="Facility Water Supply (GRV)" u="1"/>
        <s v="Facility Water Return (GRV)" u="1"/>
        <s v="Hydronic Supply - N2O 13" u="1"/>
        <s v="(EA-GA-N2) Exhaust Air" u="1"/>
        <s v="Supply Air - SA 1" u="1"/>
        <s v="Supply Air - SA 2" u="1"/>
        <s v="Hydronic Supply - N2O 14" u="1"/>
        <s v="DP Tubing (DKLOK)" u="1"/>
        <s v="Technical Water Supply (BWSS)" u="1"/>
        <s v="Technical Water Supply (CUxGRVSS) 2" u="1"/>
        <s v="Technical Water Return (GRVC)" u="1"/>
        <s v="Technical Water Return (CUxGRVSS) 2" u="1"/>
        <s v="Technical Water Return (BWSS)" u="1"/>
        <s v="Facility Water Supply (BW)" u="1"/>
        <s v="Tempered Water" u="1"/>
        <s v="Chilled Water Supply Secondary" u="1"/>
        <s v="Chilled Water Return Secondary" u="1"/>
        <s v="Chilled Water Supply" u="1"/>
        <s v="Chilled Water Return" u="1"/>
        <s v="Testing" u="1"/>
      </sharedItems>
    </cacheField>
    <cacheField name="Hanger Number" numFmtId="0">
      <sharedItems containsNonDate="0" containsString="0" containsBlank="1"/>
    </cacheField>
    <cacheField name="Install Type" numFmtId="0">
      <sharedItems containsNonDate="0" containsBlank="1" count="17">
        <m/>
        <s v="-" u="1"/>
        <s v="N/A" u="1"/>
        <s v="Grooved" u="1"/>
        <s v="Generic" u="1"/>
        <s v="Welded" u="1"/>
        <s v="Butt Weld" u="1"/>
        <s v="Threaded" u="1"/>
        <s v="Flange" u="1"/>
        <s v="Compression" u="1"/>
        <s v="Welded-Threaded" u="1"/>
        <s v="Butt Weld-Grooved" u="1"/>
        <s v="Soldered" u="1"/>
        <s v="Soldered/Brazed" u="1"/>
        <s v="Gasket" u="1"/>
        <s v="Flanged" u="1"/>
        <s v="Clevis" u="1"/>
      </sharedItems>
    </cacheField>
  </cacheFields>
  <extLst>
    <ext xmlns:x14="http://schemas.microsoft.com/office/spreadsheetml/2009/9/main" uri="{725AE2AE-9491-48be-B2B4-4EB974FC3084}">
      <x14:pivotCacheDefinition pivotCacheId="670781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m/>
    <m/>
    <m/>
    <m/>
    <x v="0"/>
    <x v="0"/>
    <m/>
    <x v="0"/>
    <x v="0"/>
    <m/>
    <x v="0"/>
    <x v="0"/>
    <x v="0"/>
    <m/>
    <x v="0"/>
    <x v="0"/>
    <m/>
    <x v="0"/>
  </r>
  <r>
    <x v="0"/>
    <m/>
    <m/>
    <m/>
    <m/>
    <x v="0"/>
    <x v="0"/>
    <m/>
    <x v="0"/>
    <x v="0"/>
    <m/>
    <x v="0"/>
    <x v="0"/>
    <x v="0"/>
    <m/>
    <x v="0"/>
    <x v="0"/>
    <m/>
    <x v="0"/>
  </r>
  <r>
    <x v="0"/>
    <m/>
    <m/>
    <m/>
    <m/>
    <x v="0"/>
    <x v="0"/>
    <m/>
    <x v="0"/>
    <x v="0"/>
    <m/>
    <x v="0"/>
    <x v="0"/>
    <x v="0"/>
    <m/>
    <x v="0"/>
    <x v="0"/>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AFE06D-137A-440C-805E-9001B45D991D}" name="PivotTable1" cacheId="73"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1:G3" firstHeaderRow="0" firstDataRow="1" firstDataCol="5"/>
  <pivotFields count="19">
    <pivotField axis="axisRow" outline="0" showAll="0" sortType="ascending" defaultSubtotal="0">
      <items count="18">
        <item m="1" x="3"/>
        <item m="1" x="4"/>
        <item m="1" x="5"/>
        <item m="1" x="6"/>
        <item m="1" x="15"/>
        <item m="1" x="1"/>
        <item m="1" x="2"/>
        <item m="1" x="13"/>
        <item m="1" x="14"/>
        <item m="1" x="16"/>
        <item m="1" x="7"/>
        <item m="1" x="8"/>
        <item m="1" x="17"/>
        <item m="1" x="9"/>
        <item m="1" x="10"/>
        <item m="1" x="11"/>
        <item m="1" x="12"/>
        <item x="0"/>
      </items>
      <extLst>
        <ext xmlns:x14="http://schemas.microsoft.com/office/spreadsheetml/2009/9/main" uri="{2946ED86-A175-432a-8AC1-64E0C546D7DE}">
          <x14:pivotField fillDownLabels="1"/>
        </ext>
      </extLst>
    </pivotField>
    <pivotField showAll="0"/>
    <pivotField showAll="0"/>
    <pivotField showAll="0"/>
    <pivotField showAll="0"/>
    <pivotField axis="axisRow" outline="0" showAll="0" sortType="ascending" defaultSubtotal="0">
      <items count="183">
        <item m="1" x="157"/>
        <item m="1" x="95"/>
        <item m="1" x="96"/>
        <item m="1" x="7"/>
        <item m="1" x="46"/>
        <item m="1" x="47"/>
        <item m="1" x="48"/>
        <item m="1" x="49"/>
        <item m="1" x="50"/>
        <item m="1" x="86"/>
        <item m="1" x="51"/>
        <item m="1" x="141"/>
        <item m="1" x="52"/>
        <item m="1" x="163"/>
        <item m="1" x="53"/>
        <item m="1" x="158"/>
        <item m="1" x="159"/>
        <item m="1" x="174"/>
        <item m="1" x="165"/>
        <item m="1" x="19"/>
        <item m="1" x="166"/>
        <item m="1" x="20"/>
        <item m="1" x="97"/>
        <item m="1" x="167"/>
        <item m="1" x="42"/>
        <item m="1" x="43"/>
        <item m="1" x="44"/>
        <item m="1" x="87"/>
        <item m="1" x="88"/>
        <item m="1" x="3"/>
        <item m="1" x="139"/>
        <item m="1" x="140"/>
        <item m="1" x="1"/>
        <item m="1" x="18"/>
        <item m="1" x="54"/>
        <item m="1" x="55"/>
        <item m="1" x="56"/>
        <item m="1" x="57"/>
        <item m="1" x="58"/>
        <item m="1" x="21"/>
        <item m="1" x="45"/>
        <item m="1" x="59"/>
        <item m="1" x="60"/>
        <item m="1" x="61"/>
        <item m="1" x="62"/>
        <item m="1" x="142"/>
        <item m="1" x="63"/>
        <item m="1" x="64"/>
        <item m="1" x="65"/>
        <item m="1" x="66"/>
        <item m="1" x="67"/>
        <item m="1" x="160"/>
        <item m="1" x="143"/>
        <item m="1" x="144"/>
        <item m="1" x="145"/>
        <item m="1" x="68"/>
        <item m="1" x="146"/>
        <item m="1" x="168"/>
        <item m="1" x="69"/>
        <item m="1" x="8"/>
        <item m="1" x="9"/>
        <item m="1" x="147"/>
        <item m="1" x="70"/>
        <item m="1" x="103"/>
        <item m="1" x="135"/>
        <item m="1" x="2"/>
        <item m="1" x="33"/>
        <item m="1" x="104"/>
        <item m="1" x="178"/>
        <item m="1" x="105"/>
        <item m="1" x="101"/>
        <item m="1" x="125"/>
        <item m="1" x="126"/>
        <item m="1" x="149"/>
        <item m="1" x="92"/>
        <item m="1" x="180"/>
        <item m="1" x="155"/>
        <item m="1" x="150"/>
        <item m="1" x="41"/>
        <item m="1" x="136"/>
        <item m="1" x="28"/>
        <item m="1" x="22"/>
        <item m="1" x="23"/>
        <item m="1" x="25"/>
        <item m="1" x="148"/>
        <item m="1" x="71"/>
        <item m="1" x="182"/>
        <item m="1" x="72"/>
        <item m="1" x="73"/>
        <item m="1" x="27"/>
        <item m="1" x="134"/>
        <item m="1" x="5"/>
        <item m="1" x="161"/>
        <item m="1" x="156"/>
        <item m="1" x="16"/>
        <item m="1" x="15"/>
        <item m="1" x="26"/>
        <item m="1" x="29"/>
        <item m="1" x="30"/>
        <item m="1" x="151"/>
        <item m="1" x="106"/>
        <item m="1" x="107"/>
        <item m="1" x="108"/>
        <item m="1" x="109"/>
        <item m="1" x="110"/>
        <item m="1" x="34"/>
        <item m="1" x="111"/>
        <item m="1" x="152"/>
        <item m="1" x="31"/>
        <item m="1" x="32"/>
        <item m="1" x="74"/>
        <item m="1" x="169"/>
        <item m="1" x="170"/>
        <item m="1" x="171"/>
        <item m="1" x="172"/>
        <item m="1" x="98"/>
        <item m="1" x="173"/>
        <item m="1" x="99"/>
        <item m="1" x="100"/>
        <item m="1" x="153"/>
        <item m="1" x="75"/>
        <item m="1" x="93"/>
        <item m="1" x="94"/>
        <item m="1" x="137"/>
        <item m="1" x="4"/>
        <item m="1" x="175"/>
        <item m="1" x="127"/>
        <item m="1" x="176"/>
        <item m="1" x="177"/>
        <item m="1" x="128"/>
        <item m="1" x="129"/>
        <item m="1" x="130"/>
        <item m="1" x="131"/>
        <item m="1" x="132"/>
        <item m="1" x="76"/>
        <item m="1" x="77"/>
        <item m="1" x="78"/>
        <item m="1" x="154"/>
        <item m="1" x="102"/>
        <item m="1" x="164"/>
        <item m="1" x="90"/>
        <item m="1" x="179"/>
        <item m="1" x="181"/>
        <item m="1" x="35"/>
        <item m="1" x="36"/>
        <item m="1" x="37"/>
        <item m="1" x="38"/>
        <item m="1" x="39"/>
        <item m="1" x="40"/>
        <item m="1" x="133"/>
        <item m="1" x="84"/>
        <item m="1" x="24"/>
        <item m="1" x="162"/>
        <item m="1" x="112"/>
        <item m="1" x="113"/>
        <item m="1" x="79"/>
        <item m="1" x="89"/>
        <item m="1" x="6"/>
        <item m="1" x="80"/>
        <item m="1" x="85"/>
        <item m="1" x="138"/>
        <item m="1" x="91"/>
        <item m="1" x="17"/>
        <item m="1" x="114"/>
        <item m="1" x="115"/>
        <item m="1" x="116"/>
        <item m="1" x="117"/>
        <item m="1" x="118"/>
        <item m="1" x="119"/>
        <item m="1" x="81"/>
        <item m="1" x="10"/>
        <item m="1" x="82"/>
        <item m="1" x="11"/>
        <item m="1" x="12"/>
        <item m="1" x="83"/>
        <item m="1" x="13"/>
        <item m="1" x="14"/>
        <item m="1" x="120"/>
        <item m="1" x="121"/>
        <item m="1" x="122"/>
        <item m="1" x="123"/>
        <item m="1" x="124"/>
        <item x="0"/>
      </items>
      <extLst>
        <ext xmlns:x14="http://schemas.microsoft.com/office/spreadsheetml/2009/9/main" uri="{2946ED86-A175-432a-8AC1-64E0C546D7DE}">
          <x14:pivotField fillDownLabels="1"/>
        </ext>
      </extLst>
    </pivotField>
    <pivotField axis="axisRow" outline="0" showAll="0" defaultSubtotal="0">
      <items count="86">
        <item m="1" x="22"/>
        <item m="1" x="80"/>
        <item m="1" x="21"/>
        <item m="1" x="82"/>
        <item m="1" x="77"/>
        <item m="1" x="79"/>
        <item m="1" x="18"/>
        <item m="1" x="83"/>
        <item m="1" x="81"/>
        <item m="1" x="3"/>
        <item m="1" x="51"/>
        <item m="1" x="84"/>
        <item m="1" x="85"/>
        <item x="0"/>
        <item m="1" x="8"/>
        <item m="1" x="2"/>
        <item m="1" x="54"/>
        <item m="1" x="78"/>
        <item m="1" x="16"/>
        <item m="1" x="20"/>
        <item m="1" x="19"/>
        <item m="1" x="25"/>
        <item m="1" x="26"/>
        <item m="1" x="27"/>
        <item m="1" x="35"/>
        <item m="1" x="37"/>
        <item m="1" x="30"/>
        <item m="1" x="38"/>
        <item m="1" x="41"/>
        <item m="1" x="32"/>
        <item m="1" x="12"/>
        <item m="1" x="46"/>
        <item m="1" x="48"/>
        <item m="1" x="52"/>
        <item m="1" x="53"/>
        <item m="1" x="56"/>
        <item m="1" x="57"/>
        <item m="1" x="58"/>
        <item m="1" x="59"/>
        <item m="1" x="60"/>
        <item m="1" x="61"/>
        <item m="1" x="13"/>
        <item m="1" x="62"/>
        <item m="1" x="63"/>
        <item m="1" x="64"/>
        <item m="1" x="65"/>
        <item m="1" x="66"/>
        <item m="1" x="67"/>
        <item m="1" x="68"/>
        <item m="1" x="69"/>
        <item m="1" x="70"/>
        <item m="1" x="71"/>
        <item m="1" x="72"/>
        <item m="1" x="73"/>
        <item m="1" x="74"/>
        <item m="1" x="75"/>
        <item m="1" x="76"/>
        <item m="1" x="55"/>
        <item m="1" x="15"/>
        <item m="1" x="17"/>
        <item m="1" x="23"/>
        <item m="1" x="24"/>
        <item m="1" x="28"/>
        <item m="1" x="29"/>
        <item m="1" x="31"/>
        <item m="1" x="33"/>
        <item m="1" x="34"/>
        <item m="1" x="5"/>
        <item m="1" x="36"/>
        <item m="1" x="39"/>
        <item m="1" x="40"/>
        <item m="1" x="42"/>
        <item m="1" x="43"/>
        <item m="1" x="44"/>
        <item m="1" x="45"/>
        <item m="1" x="47"/>
        <item m="1" x="49"/>
        <item m="1" x="50"/>
        <item m="1" x="14"/>
        <item m="1" x="1"/>
        <item m="1" x="7"/>
        <item m="1" x="4"/>
        <item m="1" x="6"/>
        <item m="1" x="9"/>
        <item m="1" x="10"/>
        <item m="1" x="11"/>
      </items>
      <extLst>
        <ext xmlns:x14="http://schemas.microsoft.com/office/spreadsheetml/2009/9/main" uri="{2946ED86-A175-432a-8AC1-64E0C546D7DE}">
          <x14:pivotField fillDownLabels="1"/>
        </ext>
      </extLst>
    </pivotField>
    <pivotField dataField="1" showAll="0"/>
    <pivotField showAll="0"/>
    <pivotField dataField="1" showAll="0"/>
    <pivotField showAll="0"/>
    <pivotField axis="axisRow" outline="0" showAll="0" defaultSubtotal="0">
      <items count="2">
        <item m="1" x="1"/>
        <item x="0"/>
      </items>
      <extLst>
        <ext xmlns:x14="http://schemas.microsoft.com/office/spreadsheetml/2009/9/main" uri="{2946ED86-A175-432a-8AC1-64E0C546D7DE}">
          <x14:pivotField fillDownLabels="1"/>
        </ext>
      </extLst>
    </pivotField>
    <pivotField showAll="0">
      <items count="4">
        <item m="1" x="1"/>
        <item m="1" x="2"/>
        <item x="0"/>
        <item t="default"/>
      </items>
    </pivotField>
    <pivotField axis="axisRow" showAll="0">
      <items count="25">
        <item m="1" x="4"/>
        <item m="1" x="22"/>
        <item m="1" x="20"/>
        <item m="1" x="23"/>
        <item m="1" x="19"/>
        <item m="1" x="12"/>
        <item m="1" x="15"/>
        <item m="1" x="1"/>
        <item m="1" x="9"/>
        <item m="1" x="3"/>
        <item m="1" x="21"/>
        <item m="1" x="18"/>
        <item m="1" x="14"/>
        <item x="0"/>
        <item m="1" x="2"/>
        <item m="1" x="5"/>
        <item m="1" x="17"/>
        <item m="1" x="10"/>
        <item m="1" x="8"/>
        <item m="1" x="7"/>
        <item m="1" x="16"/>
        <item m="1" x="6"/>
        <item m="1" x="11"/>
        <item m="1" x="13"/>
        <item t="default"/>
      </items>
    </pivotField>
    <pivotField showAll="0"/>
    <pivotField showAll="0">
      <items count="6">
        <item m="1" x="3"/>
        <item m="1" x="4"/>
        <item m="1" x="1"/>
        <item m="1" x="2"/>
        <item x="0"/>
        <item t="default"/>
      </items>
    </pivotField>
    <pivotField showAll="0">
      <items count="22">
        <item m="1" x="4"/>
        <item m="1" x="19"/>
        <item m="1" x="17"/>
        <item m="1" x="18"/>
        <item m="1" x="16"/>
        <item m="1" x="8"/>
        <item m="1" x="2"/>
        <item m="1" x="14"/>
        <item m="1" x="1"/>
        <item m="1" x="3"/>
        <item m="1" x="7"/>
        <item m="1" x="5"/>
        <item m="1" x="6"/>
        <item m="1" x="13"/>
        <item m="1" x="12"/>
        <item m="1" x="11"/>
        <item m="1" x="9"/>
        <item m="1" x="10"/>
        <item m="1" x="15"/>
        <item m="1" x="20"/>
        <item x="0"/>
        <item t="default"/>
      </items>
    </pivotField>
    <pivotField showAll="0"/>
    <pivotField showAll="0">
      <items count="18">
        <item m="1" x="1"/>
        <item m="1" x="6"/>
        <item m="1" x="11"/>
        <item m="1" x="16"/>
        <item m="1" x="9"/>
        <item m="1" x="8"/>
        <item m="1" x="15"/>
        <item m="1" x="14"/>
        <item m="1" x="4"/>
        <item m="1" x="3"/>
        <item m="1" x="2"/>
        <item m="1" x="12"/>
        <item m="1" x="13"/>
        <item m="1" x="7"/>
        <item m="1" x="5"/>
        <item m="1" x="10"/>
        <item x="0"/>
        <item t="default"/>
      </items>
    </pivotField>
  </pivotFields>
  <rowFields count="5">
    <field x="0"/>
    <field x="5"/>
    <field x="6"/>
    <field x="11"/>
    <field x="13"/>
  </rowFields>
  <rowItems count="2">
    <i>
      <x v="17"/>
      <x v="182"/>
      <x v="13"/>
      <x v="1"/>
      <x v="13"/>
    </i>
    <i t="grand">
      <x/>
    </i>
  </rowItems>
  <colFields count="1">
    <field x="-2"/>
  </colFields>
  <colItems count="2">
    <i>
      <x/>
    </i>
    <i i="1">
      <x v="1"/>
    </i>
  </colItems>
  <dataFields count="2">
    <dataField name="Length (ft)" fld="7" baseField="0" baseItem="0"/>
    <dataField name="Total Count" fld="9" baseField="0" baseItem="0"/>
  </dataFields>
  <formats count="76">
    <format dxfId="607">
      <pivotArea outline="0" collapsedLevelsAreSubtotals="1" fieldPosition="0"/>
    </format>
    <format dxfId="606">
      <pivotArea field="5" type="button" dataOnly="0" labelOnly="1" outline="0" axis="axisRow" fieldPosition="1"/>
    </format>
    <format dxfId="605">
      <pivotArea field="11" type="button" dataOnly="0" labelOnly="1" outline="0" axis="axisRow" fieldPosition="3"/>
    </format>
    <format dxfId="604">
      <pivotArea field="13" type="button" dataOnly="0" labelOnly="1" outline="0" axis="axisRow" fieldPosition="4"/>
    </format>
    <format dxfId="603">
      <pivotArea dataOnly="0" labelOnly="1" fieldPosition="0">
        <references count="2">
          <reference field="0" count="1" selected="0">
            <x v="3"/>
          </reference>
          <reference field="5" count="9">
            <x v="0"/>
            <x v="15"/>
            <x v="16"/>
            <x v="51"/>
            <x v="75"/>
            <x v="76"/>
            <x v="92"/>
            <x v="93"/>
            <x v="152"/>
          </reference>
        </references>
      </pivotArea>
    </format>
    <format dxfId="602">
      <pivotArea dataOnly="0" labelOnly="1" fieldPosition="0">
        <references count="2">
          <reference field="0" count="1" selected="0">
            <x v="4"/>
          </reference>
          <reference field="5" count="4">
            <x v="13"/>
            <x v="139"/>
            <x v="141"/>
            <x v="142"/>
          </reference>
        </references>
      </pivotArea>
    </format>
    <format dxfId="601">
      <pivotArea dataOnly="0" labelOnly="1" fieldPosition="0">
        <references count="3">
          <reference field="0" count="1" selected="0">
            <x v="2"/>
          </reference>
          <reference field="5" count="1" selected="0">
            <x v="137"/>
          </reference>
          <reference field="11" count="1">
            <x v="0"/>
          </reference>
        </references>
      </pivotArea>
    </format>
    <format dxfId="600">
      <pivotArea dataOnly="0" labelOnly="1" fieldPosition="0">
        <references count="3">
          <reference field="0" count="1" selected="0">
            <x v="17"/>
          </reference>
          <reference field="5" count="1" selected="0">
            <x v="182"/>
          </reference>
          <reference field="11" count="1">
            <x v="1"/>
          </reference>
        </references>
      </pivotArea>
    </format>
    <format dxfId="599">
      <pivotArea dataOnly="0" labelOnly="1" fieldPosition="0">
        <references count="4">
          <reference field="0" count="1" selected="0">
            <x v="2"/>
          </reference>
          <reference field="5" count="1" selected="0">
            <x v="137"/>
          </reference>
          <reference field="11" count="1" selected="0">
            <x v="0"/>
          </reference>
          <reference field="13" count="1">
            <x v="6"/>
          </reference>
        </references>
      </pivotArea>
    </format>
    <format dxfId="598">
      <pivotArea dataOnly="0" labelOnly="1" fieldPosition="0">
        <references count="4">
          <reference field="0" count="1" selected="0">
            <x v="17"/>
          </reference>
          <reference field="5" count="1" selected="0">
            <x v="182"/>
          </reference>
          <reference field="11" count="1" selected="0">
            <x v="1"/>
          </reference>
          <reference field="13" count="1">
            <x v="13"/>
          </reference>
        </references>
      </pivotArea>
    </format>
    <format dxfId="597">
      <pivotArea outline="0" collapsedLevelsAreSubtotals="1" fieldPosition="0"/>
    </format>
    <format dxfId="596">
      <pivotArea field="5" type="button" dataOnly="0" labelOnly="1" outline="0" axis="axisRow" fieldPosition="1"/>
    </format>
    <format dxfId="595">
      <pivotArea field="6" type="button" dataOnly="0" labelOnly="1" outline="0" axis="axisRow" fieldPosition="2"/>
    </format>
    <format dxfId="594">
      <pivotArea field="11" type="button" dataOnly="0" labelOnly="1" outline="0" axis="axisRow" fieldPosition="3"/>
    </format>
    <format dxfId="593">
      <pivotArea field="13" type="button" dataOnly="0" labelOnly="1" outline="0" axis="axisRow" fieldPosition="4"/>
    </format>
    <format dxfId="592">
      <pivotArea dataOnly="0" labelOnly="1" fieldPosition="0">
        <references count="2">
          <reference field="0" count="1" selected="0">
            <x v="3"/>
          </reference>
          <reference field="5" count="9">
            <x v="0"/>
            <x v="15"/>
            <x v="16"/>
            <x v="51"/>
            <x v="75"/>
            <x v="76"/>
            <x v="92"/>
            <x v="93"/>
            <x v="152"/>
          </reference>
        </references>
      </pivotArea>
    </format>
    <format dxfId="591">
      <pivotArea dataOnly="0" labelOnly="1" fieldPosition="0">
        <references count="2">
          <reference field="0" count="1" selected="0">
            <x v="4"/>
          </reference>
          <reference field="5" count="4">
            <x v="13"/>
            <x v="139"/>
            <x v="141"/>
            <x v="142"/>
          </reference>
        </references>
      </pivotArea>
    </format>
    <format dxfId="590">
      <pivotArea dataOnly="0" labelOnly="1" fieldPosition="0">
        <references count="3">
          <reference field="0" count="1" selected="0">
            <x v="0"/>
          </reference>
          <reference field="5" count="1" selected="0">
            <x v="30"/>
          </reference>
          <reference field="6" count="3">
            <x v="0"/>
            <x v="6"/>
            <x v="9"/>
          </reference>
        </references>
      </pivotArea>
    </format>
    <format dxfId="589">
      <pivotArea dataOnly="0" labelOnly="1" fieldPosition="0">
        <references count="3">
          <reference field="0" count="1" selected="0">
            <x v="2"/>
          </reference>
          <reference field="5" count="1" selected="0">
            <x v="61"/>
          </reference>
          <reference field="6" count="2">
            <x v="6"/>
            <x v="9"/>
          </reference>
        </references>
      </pivotArea>
    </format>
    <format dxfId="588">
      <pivotArea dataOnly="0" labelOnly="1" fieldPosition="0">
        <references count="3">
          <reference field="0" count="1" selected="0">
            <x v="3"/>
          </reference>
          <reference field="5" count="1" selected="0">
            <x v="0"/>
          </reference>
          <reference field="6" count="1">
            <x v="13"/>
          </reference>
        </references>
      </pivotArea>
    </format>
    <format dxfId="587">
      <pivotArea dataOnly="0" labelOnly="1" fieldPosition="0">
        <references count="3">
          <reference field="0" count="1" selected="0">
            <x v="3"/>
          </reference>
          <reference field="5" count="1" selected="0">
            <x v="75"/>
          </reference>
          <reference field="6" count="1">
            <x v="10"/>
          </reference>
        </references>
      </pivotArea>
    </format>
    <format dxfId="586">
      <pivotArea dataOnly="0" labelOnly="1" fieldPosition="0">
        <references count="3">
          <reference field="0" count="1" selected="0">
            <x v="3"/>
          </reference>
          <reference field="5" count="1" selected="0">
            <x v="92"/>
          </reference>
          <reference field="6" count="1">
            <x v="13"/>
          </reference>
        </references>
      </pivotArea>
    </format>
    <format dxfId="585">
      <pivotArea dataOnly="0" labelOnly="1" fieldPosition="0">
        <references count="3">
          <reference field="0" count="1" selected="0">
            <x v="3"/>
          </reference>
          <reference field="5" count="1" selected="0">
            <x v="93"/>
          </reference>
          <reference field="6" count="2">
            <x v="11"/>
            <x v="12"/>
          </reference>
        </references>
      </pivotArea>
    </format>
    <format dxfId="584">
      <pivotArea dataOnly="0" labelOnly="1" fieldPosition="0">
        <references count="3">
          <reference field="0" count="1" selected="0">
            <x v="3"/>
          </reference>
          <reference field="5" count="1" selected="0">
            <x v="152"/>
          </reference>
          <reference field="6" count="1">
            <x v="13"/>
          </reference>
        </references>
      </pivotArea>
    </format>
    <format dxfId="583">
      <pivotArea dataOnly="0" labelOnly="1" fieldPosition="0">
        <references count="3">
          <reference field="0" count="1" selected="0">
            <x v="4"/>
          </reference>
          <reference field="5" count="1" selected="0">
            <x v="142"/>
          </reference>
          <reference field="6" count="1">
            <x v="0"/>
          </reference>
        </references>
      </pivotArea>
    </format>
    <format dxfId="582">
      <pivotArea dataOnly="0" labelOnly="1" fieldPosition="0">
        <references count="3">
          <reference field="0" count="1" selected="0">
            <x v="6"/>
          </reference>
          <reference field="5" count="1" selected="0">
            <x v="18"/>
          </reference>
          <reference field="6" count="1">
            <x v="13"/>
          </reference>
        </references>
      </pivotArea>
    </format>
    <format dxfId="581">
      <pivotArea outline="0" collapsedLevelsAreSubtotals="1" fieldPosition="0"/>
    </format>
    <format dxfId="580">
      <pivotArea field="5" type="button" dataOnly="0" labelOnly="1" outline="0" axis="axisRow" fieldPosition="1"/>
    </format>
    <format dxfId="579">
      <pivotArea field="6" type="button" dataOnly="0" labelOnly="1" outline="0" axis="axisRow" fieldPosition="2"/>
    </format>
    <format dxfId="578">
      <pivotArea field="11" type="button" dataOnly="0" labelOnly="1" outline="0" axis="axisRow" fieldPosition="3"/>
    </format>
    <format dxfId="577">
      <pivotArea field="13" type="button" dataOnly="0" labelOnly="1" outline="0" axis="axisRow" fieldPosition="4"/>
    </format>
    <format dxfId="576">
      <pivotArea outline="0" collapsedLevelsAreSubtotals="1" fieldPosition="0"/>
    </format>
    <format dxfId="575">
      <pivotArea field="5" type="button" dataOnly="0" labelOnly="1" outline="0" axis="axisRow" fieldPosition="1"/>
    </format>
    <format dxfId="574">
      <pivotArea field="6" type="button" dataOnly="0" labelOnly="1" outline="0" axis="axisRow" fieldPosition="2"/>
    </format>
    <format dxfId="573">
      <pivotArea field="11" type="button" dataOnly="0" labelOnly="1" outline="0" axis="axisRow" fieldPosition="3"/>
    </format>
    <format dxfId="572">
      <pivotArea field="13" type="button" dataOnly="0" labelOnly="1" outline="0" axis="axisRow" fieldPosition="4"/>
    </format>
    <format dxfId="571">
      <pivotArea dataOnly="0" labelOnly="1" grandRow="1" outline="0" offset="B256:IV256" fieldPosition="0"/>
    </format>
    <format dxfId="570">
      <pivotArea dataOnly="0" labelOnly="1" fieldPosition="0">
        <references count="2">
          <reference field="0" count="1" selected="0">
            <x v="0"/>
          </reference>
          <reference field="5" count="2">
            <x v="30"/>
            <x v="31"/>
          </reference>
        </references>
      </pivotArea>
    </format>
    <format dxfId="569">
      <pivotArea dataOnly="0" labelOnly="1" fieldPosition="0">
        <references count="2">
          <reference field="0" count="1" selected="0">
            <x v="2"/>
          </reference>
          <reference field="5" count="14">
            <x v="11"/>
            <x v="45"/>
            <x v="52"/>
            <x v="53"/>
            <x v="54"/>
            <x v="56"/>
            <x v="61"/>
            <x v="73"/>
            <x v="77"/>
            <x v="84"/>
            <x v="99"/>
            <x v="107"/>
            <x v="119"/>
            <x v="137"/>
          </reference>
        </references>
      </pivotArea>
    </format>
    <format dxfId="568">
      <pivotArea dataOnly="0" labelOnly="1" fieldPosition="0">
        <references count="2">
          <reference field="0" count="1" selected="0">
            <x v="3"/>
          </reference>
          <reference field="5" count="8">
            <x v="0"/>
            <x v="15"/>
            <x v="16"/>
            <x v="51"/>
            <x v="76"/>
            <x v="92"/>
            <x v="93"/>
            <x v="152"/>
          </reference>
        </references>
      </pivotArea>
    </format>
    <format dxfId="567">
      <pivotArea dataOnly="0" labelOnly="1" fieldPosition="0">
        <references count="2">
          <reference field="0" count="1" selected="0">
            <x v="4"/>
          </reference>
          <reference field="5" count="2">
            <x v="13"/>
            <x v="139"/>
          </reference>
        </references>
      </pivotArea>
    </format>
    <format dxfId="566">
      <pivotArea dataOnly="0" labelOnly="1" fieldPosition="0">
        <references count="2">
          <reference field="0" count="1" selected="0">
            <x v="5"/>
          </reference>
          <reference field="5" count="1">
            <x v="68"/>
          </reference>
        </references>
      </pivotArea>
    </format>
    <format dxfId="565">
      <pivotArea dataOnly="0" labelOnly="1" fieldPosition="0">
        <references count="2">
          <reference field="0" count="1" selected="0">
            <x v="6"/>
          </reference>
          <reference field="5" count="10">
            <x v="18"/>
            <x v="20"/>
            <x v="23"/>
            <x v="57"/>
            <x v="65"/>
            <x v="111"/>
            <x v="112"/>
            <x v="113"/>
            <x v="114"/>
            <x v="116"/>
          </reference>
        </references>
      </pivotArea>
    </format>
    <format dxfId="564">
      <pivotArea dataOnly="0" labelOnly="1" fieldPosition="0">
        <references count="2">
          <reference field="0" count="1" selected="0">
            <x v="10"/>
          </reference>
          <reference field="5" count="4">
            <x v="17"/>
            <x v="125"/>
            <x v="127"/>
            <x v="128"/>
          </reference>
        </references>
      </pivotArea>
    </format>
    <format dxfId="563">
      <pivotArea dataOnly="0" labelOnly="1" fieldPosition="0">
        <references count="2">
          <reference field="0" count="1" selected="0">
            <x v="17"/>
          </reference>
          <reference field="5" count="1">
            <x v="182"/>
          </reference>
        </references>
      </pivotArea>
    </format>
    <format dxfId="562">
      <pivotArea dataOnly="0" labelOnly="1" fieldPosition="0">
        <references count="3">
          <reference field="0" count="1" selected="0">
            <x v="0"/>
          </reference>
          <reference field="5" count="1" selected="0">
            <x v="30"/>
          </reference>
          <reference field="6" count="2">
            <x v="6"/>
            <x v="9"/>
          </reference>
        </references>
      </pivotArea>
    </format>
    <format dxfId="561">
      <pivotArea dataOnly="0" labelOnly="1" fieldPosition="0">
        <references count="3">
          <reference field="0" count="1" selected="0">
            <x v="0"/>
          </reference>
          <reference field="5" count="1" selected="0">
            <x v="31"/>
          </reference>
          <reference field="6" count="2">
            <x v="0"/>
            <x v="4"/>
          </reference>
        </references>
      </pivotArea>
    </format>
    <format dxfId="560">
      <pivotArea dataOnly="0" labelOnly="1" fieldPosition="0">
        <references count="3">
          <reference field="0" count="1" selected="0">
            <x v="2"/>
          </reference>
          <reference field="5" count="1" selected="0">
            <x v="11"/>
          </reference>
          <reference field="6" count="1">
            <x v="6"/>
          </reference>
        </references>
      </pivotArea>
    </format>
    <format dxfId="559">
      <pivotArea dataOnly="0" labelOnly="1" fieldPosition="0">
        <references count="3">
          <reference field="0" count="1" selected="0">
            <x v="2"/>
          </reference>
          <reference field="5" count="1" selected="0">
            <x v="52"/>
          </reference>
          <reference field="6" count="1">
            <x v="2"/>
          </reference>
        </references>
      </pivotArea>
    </format>
    <format dxfId="558">
      <pivotArea dataOnly="0" labelOnly="1" fieldPosition="0">
        <references count="3">
          <reference field="0" count="1" selected="0">
            <x v="2"/>
          </reference>
          <reference field="5" count="1" selected="0">
            <x v="53"/>
          </reference>
          <reference field="6" count="1">
            <x v="0"/>
          </reference>
        </references>
      </pivotArea>
    </format>
    <format dxfId="557">
      <pivotArea dataOnly="0" labelOnly="1" fieldPosition="0">
        <references count="3">
          <reference field="0" count="1" selected="0">
            <x v="2"/>
          </reference>
          <reference field="5" count="1" selected="0">
            <x v="56"/>
          </reference>
          <reference field="6" count="2">
            <x v="1"/>
            <x v="5"/>
          </reference>
        </references>
      </pivotArea>
    </format>
    <format dxfId="556">
      <pivotArea dataOnly="0" labelOnly="1" fieldPosition="0">
        <references count="3">
          <reference field="0" count="1" selected="0">
            <x v="2"/>
          </reference>
          <reference field="5" count="1" selected="0">
            <x v="61"/>
          </reference>
          <reference field="6" count="1">
            <x v="6"/>
          </reference>
        </references>
      </pivotArea>
    </format>
    <format dxfId="555">
      <pivotArea dataOnly="0" labelOnly="1" fieldPosition="0">
        <references count="3">
          <reference field="0" count="1" selected="0">
            <x v="2"/>
          </reference>
          <reference field="5" count="1" selected="0">
            <x v="73"/>
          </reference>
          <reference field="6" count="1">
            <x v="4"/>
          </reference>
        </references>
      </pivotArea>
    </format>
    <format dxfId="554">
      <pivotArea dataOnly="0" labelOnly="1" fieldPosition="0">
        <references count="3">
          <reference field="0" count="1" selected="0">
            <x v="2"/>
          </reference>
          <reference field="5" count="1" selected="0">
            <x v="77"/>
          </reference>
          <reference field="6" count="1">
            <x v="8"/>
          </reference>
        </references>
      </pivotArea>
    </format>
    <format dxfId="553">
      <pivotArea dataOnly="0" labelOnly="1" fieldPosition="0">
        <references count="3">
          <reference field="0" count="1" selected="0">
            <x v="2"/>
          </reference>
          <reference field="5" count="1" selected="0">
            <x v="84"/>
          </reference>
          <reference field="6" count="1">
            <x v="4"/>
          </reference>
        </references>
      </pivotArea>
    </format>
    <format dxfId="552">
      <pivotArea dataOnly="0" labelOnly="1" fieldPosition="0">
        <references count="3">
          <reference field="0" count="1" selected="0">
            <x v="2"/>
          </reference>
          <reference field="5" count="1" selected="0">
            <x v="107"/>
          </reference>
          <reference field="6" count="1">
            <x v="6"/>
          </reference>
        </references>
      </pivotArea>
    </format>
    <format dxfId="551">
      <pivotArea dataOnly="0" labelOnly="1" fieldPosition="0">
        <references count="3">
          <reference field="0" count="1" selected="0">
            <x v="2"/>
          </reference>
          <reference field="5" count="1" selected="0">
            <x v="119"/>
          </reference>
          <reference field="6" count="1">
            <x v="3"/>
          </reference>
        </references>
      </pivotArea>
    </format>
    <format dxfId="550">
      <pivotArea dataOnly="0" labelOnly="1" fieldPosition="0">
        <references count="3">
          <reference field="0" count="1" selected="0">
            <x v="2"/>
          </reference>
          <reference field="5" count="1" selected="0">
            <x v="137"/>
          </reference>
          <reference field="6" count="1">
            <x v="0"/>
          </reference>
        </references>
      </pivotArea>
    </format>
    <format dxfId="549">
      <pivotArea dataOnly="0" labelOnly="1" fieldPosition="0">
        <references count="3">
          <reference field="0" count="1" selected="0">
            <x v="3"/>
          </reference>
          <reference field="5" count="1" selected="0">
            <x v="0"/>
          </reference>
          <reference field="6" count="1">
            <x v="14"/>
          </reference>
        </references>
      </pivotArea>
    </format>
    <format dxfId="548">
      <pivotArea dataOnly="0" labelOnly="1" fieldPosition="0">
        <references count="3">
          <reference field="0" count="1" selected="0">
            <x v="3"/>
          </reference>
          <reference field="5" count="1" selected="0">
            <x v="76"/>
          </reference>
          <reference field="6" count="1">
            <x v="7"/>
          </reference>
        </references>
      </pivotArea>
    </format>
    <format dxfId="547">
      <pivotArea dataOnly="0" labelOnly="1" fieldPosition="0">
        <references count="3">
          <reference field="0" count="1" selected="0">
            <x v="3"/>
          </reference>
          <reference field="5" count="1" selected="0">
            <x v="92"/>
          </reference>
          <reference field="6" count="1">
            <x v="14"/>
          </reference>
        </references>
      </pivotArea>
    </format>
    <format dxfId="546">
      <pivotArea dataOnly="0" labelOnly="1" fieldPosition="0">
        <references count="3">
          <reference field="0" count="1" selected="0">
            <x v="3"/>
          </reference>
          <reference field="5" count="1" selected="0">
            <x v="93"/>
          </reference>
          <reference field="6" count="1">
            <x v="11"/>
          </reference>
        </references>
      </pivotArea>
    </format>
    <format dxfId="545">
      <pivotArea dataOnly="0" labelOnly="1" fieldPosition="0">
        <references count="3">
          <reference field="0" count="1" selected="0">
            <x v="3"/>
          </reference>
          <reference field="5" count="1" selected="0">
            <x v="152"/>
          </reference>
          <reference field="6" count="1">
            <x v="14"/>
          </reference>
        </references>
      </pivotArea>
    </format>
    <format dxfId="544">
      <pivotArea dataOnly="0" labelOnly="1" fieldPosition="0">
        <references count="3">
          <reference field="0" count="1" selected="0">
            <x v="4"/>
          </reference>
          <reference field="5" count="1" selected="0">
            <x v="13"/>
          </reference>
          <reference field="6" count="2">
            <x v="6"/>
            <x v="9"/>
          </reference>
        </references>
      </pivotArea>
    </format>
    <format dxfId="543">
      <pivotArea dataOnly="0" labelOnly="1" fieldPosition="0">
        <references count="3">
          <reference field="0" count="1" selected="0">
            <x v="4"/>
          </reference>
          <reference field="5" count="1" selected="0">
            <x v="139"/>
          </reference>
          <reference field="6" count="3">
            <x v="4"/>
            <x v="6"/>
            <x v="9"/>
          </reference>
        </references>
      </pivotArea>
    </format>
    <format dxfId="542">
      <pivotArea dataOnly="0" labelOnly="1" fieldPosition="0">
        <references count="3">
          <reference field="0" count="1" selected="0">
            <x v="6"/>
          </reference>
          <reference field="5" count="1" selected="0">
            <x v="18"/>
          </reference>
          <reference field="6" count="1">
            <x v="14"/>
          </reference>
        </references>
      </pivotArea>
    </format>
    <format dxfId="541">
      <pivotArea dataOnly="0" labelOnly="1" fieldPosition="0">
        <references count="3">
          <reference field="0" count="1" selected="0">
            <x v="6"/>
          </reference>
          <reference field="5" count="1" selected="0">
            <x v="65"/>
          </reference>
          <reference field="6" count="1">
            <x v="13"/>
          </reference>
        </references>
      </pivotArea>
    </format>
    <format dxfId="540">
      <pivotArea dataOnly="0" labelOnly="1" fieldPosition="0">
        <references count="3">
          <reference field="0" count="1" selected="0">
            <x v="6"/>
          </reference>
          <reference field="5" count="1" selected="0">
            <x v="111"/>
          </reference>
          <reference field="6" count="1">
            <x v="14"/>
          </reference>
        </references>
      </pivotArea>
    </format>
    <format dxfId="539">
      <pivotArea dataOnly="0" labelOnly="1" fieldPosition="0">
        <references count="3">
          <reference field="0" count="1" selected="0">
            <x v="17"/>
          </reference>
          <reference field="5" count="1" selected="0">
            <x v="182"/>
          </reference>
          <reference field="6" count="1">
            <x v="13"/>
          </reference>
        </references>
      </pivotArea>
    </format>
    <format dxfId="538">
      <pivotArea dataOnly="0" labelOnly="1" fieldPosition="0">
        <references count="4">
          <reference field="0" count="1" selected="0">
            <x v="2"/>
          </reference>
          <reference field="5" count="1" selected="0">
            <x v="137"/>
          </reference>
          <reference field="6" count="1" selected="0">
            <x v="0"/>
          </reference>
          <reference field="11" count="1">
            <x v="0"/>
          </reference>
        </references>
      </pivotArea>
    </format>
    <format dxfId="537">
      <pivotArea dataOnly="0" labelOnly="1" fieldPosition="0">
        <references count="4">
          <reference field="0" count="1" selected="0">
            <x v="6"/>
          </reference>
          <reference field="5" count="1" selected="0">
            <x v="65"/>
          </reference>
          <reference field="6" count="1" selected="0">
            <x v="13"/>
          </reference>
          <reference field="11" count="1">
            <x v="1"/>
          </reference>
        </references>
      </pivotArea>
    </format>
    <format dxfId="536">
      <pivotArea dataOnly="0" labelOnly="1" fieldPosition="0">
        <references count="4">
          <reference field="0" count="1" selected="0">
            <x v="17"/>
          </reference>
          <reference field="5" count="1" selected="0">
            <x v="182"/>
          </reference>
          <reference field="6" count="1" selected="0">
            <x v="13"/>
          </reference>
          <reference field="11" count="1">
            <x v="1"/>
          </reference>
        </references>
      </pivotArea>
    </format>
    <format dxfId="535">
      <pivotArea dataOnly="0" labelOnly="1" fieldPosition="0">
        <references count="5">
          <reference field="0" count="1" selected="0">
            <x v="2"/>
          </reference>
          <reference field="5" count="1" selected="0">
            <x v="137"/>
          </reference>
          <reference field="6" count="1" selected="0">
            <x v="0"/>
          </reference>
          <reference field="11" count="1" selected="0">
            <x v="0"/>
          </reference>
          <reference field="13" count="1">
            <x v="6"/>
          </reference>
        </references>
      </pivotArea>
    </format>
    <format dxfId="534">
      <pivotArea dataOnly="0" labelOnly="1" fieldPosition="0">
        <references count="5">
          <reference field="0" count="1" selected="0">
            <x v="6"/>
          </reference>
          <reference field="5" count="1" selected="0">
            <x v="65"/>
          </reference>
          <reference field="6" count="1" selected="0">
            <x v="13"/>
          </reference>
          <reference field="11" count="1" selected="0">
            <x v="1"/>
          </reference>
          <reference field="13" count="1">
            <x v="15"/>
          </reference>
        </references>
      </pivotArea>
    </format>
    <format dxfId="533">
      <pivotArea dataOnly="0" labelOnly="1" fieldPosition="0">
        <references count="5">
          <reference field="0" count="1" selected="0">
            <x v="17"/>
          </reference>
          <reference field="5" count="1" selected="0">
            <x v="182"/>
          </reference>
          <reference field="6" count="1" selected="0">
            <x v="13"/>
          </reference>
          <reference field="11" count="1" selected="0">
            <x v="1"/>
          </reference>
          <reference field="13" count="1">
            <x v="13"/>
          </reference>
        </references>
      </pivotArea>
    </format>
    <format dxfId="532">
      <pivotArea dataOnly="0" labelOnly="1" outline="0" fieldPosition="0">
        <references count="1">
          <reference field="4294967294" count="2">
            <x v="0"/>
            <x v="1"/>
          </reference>
        </references>
      </pivotArea>
    </format>
  </formats>
  <pivotTableStyleInfo name="PivotStyleLight22"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952269-F9C0-42DF-A28C-F74FE620C3D3}" name="PivotTable3" cacheId="73"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Description">
  <location ref="A3:F5" firstHeaderRow="1" firstDataRow="1" firstDataCol="5" rowPageCount="1" colPageCount="1"/>
  <pivotFields count="19">
    <pivotField axis="axisRow" outline="0" showAll="0" defaultSubtotal="0">
      <items count="18">
        <item m="1" x="3"/>
        <item m="1" x="5"/>
        <item m="1" x="6"/>
        <item m="1" x="15"/>
        <item m="1" x="1"/>
        <item m="1" x="2"/>
        <item m="1" x="7"/>
        <item x="0"/>
        <item m="1" x="13"/>
        <item m="1" x="14"/>
        <item m="1" x="16"/>
        <item m="1" x="17"/>
        <item m="1" x="9"/>
        <item m="1" x="4"/>
        <item m="1" x="8"/>
        <item m="1" x="10"/>
        <item m="1" x="11"/>
        <item m="1" x="12"/>
      </items>
      <extLst>
        <ext xmlns:x14="http://schemas.microsoft.com/office/spreadsheetml/2009/9/main" uri="{2946ED86-A175-432a-8AC1-64E0C546D7DE}">
          <x14:pivotField fillDownLabels="1"/>
        </ext>
      </extLst>
    </pivotField>
    <pivotField showAll="0"/>
    <pivotField showAll="0"/>
    <pivotField showAll="0"/>
    <pivotField showAll="0"/>
    <pivotField axis="axisRow" outline="0" showAll="0" defaultSubtotal="0">
      <items count="183">
        <item m="1" x="157"/>
        <item m="1" x="141"/>
        <item m="1" x="163"/>
        <item m="1" x="158"/>
        <item m="1" x="159"/>
        <item m="1" x="174"/>
        <item m="1" x="165"/>
        <item m="1" x="166"/>
        <item m="1" x="167"/>
        <item m="1" x="139"/>
        <item m="1" x="140"/>
        <item m="1" x="142"/>
        <item m="1" x="160"/>
        <item m="1" x="143"/>
        <item m="1" x="144"/>
        <item m="1" x="145"/>
        <item m="1" x="146"/>
        <item m="1" x="168"/>
        <item m="1" x="147"/>
        <item m="1" x="2"/>
        <item m="1" x="178"/>
        <item m="1" x="149"/>
        <item m="1" x="180"/>
        <item m="1" x="155"/>
        <item m="1" x="150"/>
        <item m="1" x="148"/>
        <item m="1" x="182"/>
        <item m="1" x="161"/>
        <item m="1" x="156"/>
        <item m="1" x="151"/>
        <item m="1" x="152"/>
        <item m="1" x="169"/>
        <item m="1" x="170"/>
        <item m="1" x="171"/>
        <item m="1" x="172"/>
        <item m="1" x="173"/>
        <item m="1" x="153"/>
        <item m="1" x="175"/>
        <item m="1" x="176"/>
        <item m="1" x="177"/>
        <item m="1" x="154"/>
        <item m="1" x="164"/>
        <item m="1" x="179"/>
        <item m="1" x="181"/>
        <item m="1" x="162"/>
        <item x="0"/>
        <item m="1" x="137"/>
        <item m="1" x="1"/>
        <item m="1" x="138"/>
        <item m="1" x="7"/>
        <item m="1" x="47"/>
        <item m="1" x="56"/>
        <item m="1" x="59"/>
        <item m="1" x="60"/>
        <item m="1" x="65"/>
        <item m="1" x="66"/>
        <item m="1" x="68"/>
        <item m="1" x="70"/>
        <item m="1" x="76"/>
        <item m="1" x="77"/>
        <item m="1" x="78"/>
        <item m="1" x="79"/>
        <item m="1" x="80"/>
        <item m="1" x="11"/>
        <item m="1" x="83"/>
        <item m="1" x="13"/>
        <item m="1" x="14"/>
        <item m="1" x="84"/>
        <item m="1" x="85"/>
        <item m="1" x="92"/>
        <item m="1" x="93"/>
        <item m="1" x="94"/>
        <item m="1" x="90"/>
        <item m="1" x="18"/>
        <item m="1" x="95"/>
        <item m="1" x="96"/>
        <item m="1" x="97"/>
        <item m="1" x="98"/>
        <item m="1" x="99"/>
        <item m="1" x="100"/>
        <item m="1" x="101"/>
        <item m="1" x="31"/>
        <item m="1" x="32"/>
        <item m="1" x="102"/>
        <item m="1" x="103"/>
        <item m="1" x="33"/>
        <item m="1" x="104"/>
        <item m="1" x="105"/>
        <item m="1" x="106"/>
        <item m="1" x="107"/>
        <item m="1" x="108"/>
        <item m="1" x="109"/>
        <item m="1" x="110"/>
        <item m="1" x="34"/>
        <item m="1" x="111"/>
        <item m="1" x="36"/>
        <item m="1" x="37"/>
        <item m="1" x="39"/>
        <item m="1" x="40"/>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91"/>
        <item m="1" x="42"/>
        <item m="1" x="43"/>
        <item m="1" x="44"/>
        <item m="1" x="3"/>
        <item m="1" x="45"/>
        <item m="1" x="46"/>
        <item m="1" x="48"/>
        <item m="1" x="49"/>
        <item m="1" x="50"/>
        <item m="1" x="51"/>
        <item m="1" x="52"/>
        <item m="1" x="53"/>
        <item m="1" x="54"/>
        <item m="1" x="55"/>
        <item m="1" x="57"/>
        <item m="1" x="58"/>
        <item m="1" x="61"/>
        <item m="1" x="62"/>
        <item m="1" x="63"/>
        <item m="1" x="64"/>
        <item m="1" x="67"/>
        <item m="1" x="69"/>
        <item m="1" x="8"/>
        <item m="1" x="9"/>
        <item m="1" x="71"/>
        <item m="1" x="72"/>
        <item m="1" x="73"/>
        <item m="1" x="74"/>
        <item m="1" x="75"/>
        <item m="1" x="81"/>
        <item m="1" x="10"/>
        <item m="1" x="82"/>
        <item m="1" x="16"/>
        <item m="1" x="86"/>
        <item m="1" x="87"/>
        <item m="1" x="88"/>
        <item m="1" x="89"/>
        <item m="1" x="6"/>
        <item m="1" x="41"/>
        <item m="1" x="35"/>
        <item m="1" x="38"/>
        <item m="1" x="12"/>
        <item m="1" x="17"/>
        <item m="1" x="19"/>
        <item m="1" x="20"/>
        <item m="1" x="21"/>
        <item m="1" x="22"/>
        <item m="1" x="23"/>
        <item m="1" x="25"/>
        <item m="1" x="4"/>
        <item m="1" x="5"/>
        <item m="1" x="15"/>
        <item m="1" x="24"/>
        <item m="1" x="26"/>
        <item m="1" x="27"/>
        <item m="1" x="28"/>
        <item m="1" x="29"/>
        <item m="1" x="30"/>
      </items>
      <extLst>
        <ext xmlns:x14="http://schemas.microsoft.com/office/spreadsheetml/2009/9/main" uri="{2946ED86-A175-432a-8AC1-64E0C546D7DE}">
          <x14:pivotField fillDownLabels="1"/>
        </ext>
      </extLst>
    </pivotField>
    <pivotField axis="axisRow" outline="0" showAll="0" defaultSubtotal="0">
      <items count="86">
        <item m="1" x="22"/>
        <item m="1" x="80"/>
        <item m="1" x="21"/>
        <item m="1" x="82"/>
        <item m="1" x="77"/>
        <item m="1" x="79"/>
        <item m="1" x="18"/>
        <item m="1" x="83"/>
        <item m="1" x="81"/>
        <item m="1" x="3"/>
        <item m="1" x="51"/>
        <item m="1" x="84"/>
        <item m="1" x="85"/>
        <item m="1" x="8"/>
        <item x="0"/>
        <item m="1" x="2"/>
        <item m="1" x="54"/>
        <item m="1" x="78"/>
        <item m="1" x="16"/>
        <item m="1" x="20"/>
        <item m="1" x="19"/>
        <item m="1" x="25"/>
        <item m="1" x="26"/>
        <item m="1" x="27"/>
        <item m="1" x="35"/>
        <item m="1" x="37"/>
        <item m="1" x="30"/>
        <item m="1" x="38"/>
        <item m="1" x="41"/>
        <item m="1" x="32"/>
        <item m="1" x="12"/>
        <item m="1" x="46"/>
        <item m="1" x="48"/>
        <item m="1" x="52"/>
        <item m="1" x="53"/>
        <item m="1" x="56"/>
        <item m="1" x="57"/>
        <item m="1" x="58"/>
        <item m="1" x="59"/>
        <item m="1" x="60"/>
        <item m="1" x="61"/>
        <item m="1" x="13"/>
        <item m="1" x="62"/>
        <item m="1" x="63"/>
        <item m="1" x="64"/>
        <item m="1" x="65"/>
        <item m="1" x="66"/>
        <item m="1" x="67"/>
        <item m="1" x="68"/>
        <item m="1" x="69"/>
        <item m="1" x="70"/>
        <item m="1" x="71"/>
        <item m="1" x="72"/>
        <item m="1" x="73"/>
        <item m="1" x="74"/>
        <item m="1" x="75"/>
        <item m="1" x="76"/>
        <item m="1" x="55"/>
        <item m="1" x="15"/>
        <item m="1" x="17"/>
        <item m="1" x="23"/>
        <item m="1" x="24"/>
        <item m="1" x="28"/>
        <item m="1" x="29"/>
        <item m="1" x="31"/>
        <item m="1" x="33"/>
        <item m="1" x="34"/>
        <item m="1" x="5"/>
        <item m="1" x="36"/>
        <item m="1" x="39"/>
        <item m="1" x="40"/>
        <item m="1" x="42"/>
        <item m="1" x="43"/>
        <item m="1" x="44"/>
        <item m="1" x="45"/>
        <item m="1" x="47"/>
        <item m="1" x="49"/>
        <item m="1" x="50"/>
        <item m="1" x="14"/>
        <item m="1" x="1"/>
        <item m="1" x="7"/>
        <item m="1" x="4"/>
        <item m="1" x="6"/>
        <item m="1" x="9"/>
        <item m="1" x="10"/>
        <item m="1" x="11"/>
      </items>
      <extLst>
        <ext xmlns:x14="http://schemas.microsoft.com/office/spreadsheetml/2009/9/main" uri="{2946ED86-A175-432a-8AC1-64E0C546D7DE}">
          <x14:pivotField fillDownLabels="1"/>
        </ext>
      </extLst>
    </pivotField>
    <pivotField showAll="0"/>
    <pivotField name="Length" axis="axisRow" showAll="0">
      <items count="112">
        <item m="1" x="102"/>
        <item m="1" x="1"/>
        <item m="1" x="86"/>
        <item m="1" x="99"/>
        <item m="1" x="84"/>
        <item m="1" x="92"/>
        <item m="1" x="96"/>
        <item m="1" x="82"/>
        <item m="1" x="89"/>
        <item m="1" x="20"/>
        <item m="1" x="103"/>
        <item m="1" x="100"/>
        <item m="1" x="98"/>
        <item m="1" x="9"/>
        <item m="1" x="97"/>
        <item m="1" x="91"/>
        <item m="1" x="93"/>
        <item m="1" x="81"/>
        <item m="1" x="85"/>
        <item m="1" x="87"/>
        <item m="1" x="107"/>
        <item m="1" x="83"/>
        <item m="1" x="64"/>
        <item m="1" x="106"/>
        <item m="1" x="101"/>
        <item m="1" x="95"/>
        <item m="1" x="94"/>
        <item m="1" x="104"/>
        <item m="1" x="108"/>
        <item m="1" x="90"/>
        <item m="1" x="110"/>
        <item m="1" x="105"/>
        <item m="1" x="88"/>
        <item m="1" x="109"/>
        <item x="0"/>
        <item m="1" x="77"/>
        <item m="1" x="78"/>
        <item m="1" x="79"/>
        <item m="1" x="80"/>
        <item m="1" x="46"/>
        <item m="1" x="48"/>
        <item m="1" x="47"/>
        <item m="1" x="52"/>
        <item m="1" x="54"/>
        <item m="1" x="60"/>
        <item m="1" x="61"/>
        <item m="1" x="45"/>
        <item m="1" x="65"/>
        <item m="1" x="66"/>
        <item m="1" x="67"/>
        <item m="1" x="68"/>
        <item m="1" x="69"/>
        <item m="1" x="70"/>
        <item m="1" x="71"/>
        <item m="1" x="23"/>
        <item m="1" x="72"/>
        <item m="1" x="73"/>
        <item m="1" x="74"/>
        <item m="1" x="19"/>
        <item m="1" x="75"/>
        <item m="1" x="76"/>
        <item m="1" x="62"/>
        <item m="1" x="63"/>
        <item m="1" x="18"/>
        <item m="1" x="21"/>
        <item m="1" x="22"/>
        <item m="1" x="24"/>
        <item m="1" x="25"/>
        <item m="1" x="26"/>
        <item m="1" x="27"/>
        <item m="1" x="28"/>
        <item m="1" x="29"/>
        <item m="1" x="30"/>
        <item m="1" x="31"/>
        <item m="1" x="32"/>
        <item m="1" x="33"/>
        <item m="1" x="34"/>
        <item m="1" x="35"/>
        <item m="1" x="36"/>
        <item m="1" x="37"/>
        <item m="1" x="38"/>
        <item m="1" x="39"/>
        <item m="1" x="40"/>
        <item m="1" x="41"/>
        <item m="1" x="42"/>
        <item m="1" x="43"/>
        <item m="1" x="44"/>
        <item m="1" x="49"/>
        <item m="1" x="50"/>
        <item m="1" x="51"/>
        <item m="1" x="53"/>
        <item m="1" x="55"/>
        <item m="1" x="56"/>
        <item m="1" x="57"/>
        <item m="1" x="58"/>
        <item m="1" x="59"/>
        <item m="1" x="8"/>
        <item m="1" x="17"/>
        <item m="1" x="3"/>
        <item m="1" x="4"/>
        <item m="1" x="5"/>
        <item m="1" x="10"/>
        <item m="1" x="11"/>
        <item m="1" x="12"/>
        <item m="1" x="6"/>
        <item m="1" x="7"/>
        <item m="1" x="13"/>
        <item m="1" x="14"/>
        <item m="1" x="15"/>
        <item m="1" x="16"/>
        <item m="1" x="2"/>
        <item t="default"/>
      </items>
    </pivotField>
    <pivotField name="Set to (Blank)" axis="axisPage" showAll="0">
      <items count="3">
        <item m="1" x="1"/>
        <item x="0"/>
        <item t="default"/>
      </items>
    </pivotField>
    <pivotField dataField="1" showAll="0"/>
    <pivotField showAll="0"/>
    <pivotField showAll="0">
      <items count="4">
        <item m="1" x="1"/>
        <item m="1" x="2"/>
        <item x="0"/>
        <item t="default"/>
      </items>
    </pivotField>
    <pivotField axis="axisRow" outline="0" showAll="0" defaultSubtotal="0">
      <items count="24">
        <item m="1" x="4"/>
        <item m="1" x="22"/>
        <item m="1" x="20"/>
        <item m="1" x="23"/>
        <item m="1" x="19"/>
        <item m="1" x="12"/>
        <item m="1" x="15"/>
        <item m="1" x="1"/>
        <item m="1" x="9"/>
        <item m="1" x="3"/>
        <item m="1" x="21"/>
        <item m="1" x="5"/>
        <item m="1" x="2"/>
        <item m="1" x="18"/>
        <item m="1" x="14"/>
        <item x="0"/>
        <item m="1" x="17"/>
        <item m="1" x="10"/>
        <item m="1" x="8"/>
        <item m="1" x="7"/>
        <item m="1" x="16"/>
        <item m="1" x="6"/>
        <item m="1" x="11"/>
        <item m="1" x="13"/>
      </items>
      <extLst>
        <ext xmlns:x14="http://schemas.microsoft.com/office/spreadsheetml/2009/9/main" uri="{2946ED86-A175-432a-8AC1-64E0C546D7DE}">
          <x14:pivotField fillDownLabels="1"/>
        </ext>
      </extLst>
    </pivotField>
    <pivotField showAll="0"/>
    <pivotField showAll="0"/>
    <pivotField showAll="0"/>
    <pivotField showAll="0"/>
    <pivotField showAll="0"/>
  </pivotFields>
  <rowFields count="5">
    <field x="0"/>
    <field x="5"/>
    <field x="6"/>
    <field x="13"/>
    <field x="8"/>
  </rowFields>
  <rowItems count="2">
    <i>
      <x v="7"/>
      <x v="45"/>
      <x v="14"/>
      <x v="15"/>
      <x v="34"/>
    </i>
    <i t="grand">
      <x/>
    </i>
  </rowItems>
  <colItems count="1">
    <i/>
  </colItems>
  <pageFields count="1">
    <pageField fld="9" item="1" hier="-1"/>
  </pageFields>
  <dataFields count="1">
    <dataField name="Count" fld="10" baseField="0" baseItem="0"/>
  </dataFields>
  <pivotTableStyleInfo name="PivotStyleLight15"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C2E654A-97D8-4EE8-8346-E0134055ED1E}" sourceName="Size">
  <pivotTables>
    <pivotTable tabId="3" name="PivotTable1"/>
  </pivotTables>
  <data>
    <tabular pivotCacheId="670781296">
      <items count="86">
        <i x="13" s="1" nd="1"/>
        <i x="76" s="1" nd="1"/>
        <i x="22" s="1" nd="1"/>
        <i x="80" s="1" nd="1"/>
        <i x="39" s="1" nd="1"/>
        <i x="42" s="1" nd="1"/>
        <i x="40" s="1" nd="1"/>
        <i x="29" s="1" nd="1"/>
        <i x="21" s="1" nd="1"/>
        <i x="82" s="1" nd="1"/>
        <i x="37" s="1" nd="1"/>
        <i x="38" s="1" nd="1"/>
        <i x="28" s="1" nd="1"/>
        <i x="32" s="1" nd="1"/>
        <i x="27" s="1" nd="1"/>
        <i x="66" s="1" nd="1"/>
        <i x="68" s="1" nd="1"/>
        <i x="31" s="1" nd="1"/>
        <i x="57" s="1" nd="1"/>
        <i x="15" s="1" nd="1"/>
        <i x="36" s="1" nd="1"/>
        <i x="23" s="1" nd="1"/>
        <i x="24" s="1" nd="1"/>
        <i x="62" s="1" nd="1"/>
        <i x="17" s="1" nd="1"/>
        <i x="20" s="1" nd="1"/>
        <i x="25" s="1" nd="1"/>
        <i x="10" s="1" nd="1"/>
        <i x="9" s="1" nd="1"/>
        <i x="11" s="1" nd="1"/>
        <i x="78" s="1" nd="1"/>
        <i x="55" s="1" nd="1"/>
        <i x="1" s="1" nd="1"/>
        <i x="7" s="1" nd="1"/>
        <i x="4" s="1" nd="1"/>
        <i x="77" s="1" nd="1"/>
        <i x="79" s="1" nd="1"/>
        <i x="56" s="1" nd="1"/>
        <i x="18" s="1" nd="1"/>
        <i x="83" s="1" nd="1"/>
        <i x="81" s="1" nd="1"/>
        <i x="12" s="1" nd="1"/>
        <i x="53" s="1" nd="1"/>
        <i x="52" s="1" nd="1"/>
        <i x="43" s="1" nd="1"/>
        <i x="19" s="1" nd="1"/>
        <i x="26" s="1" nd="1"/>
        <i x="41" s="1" nd="1"/>
        <i x="30" s="1" nd="1"/>
        <i x="2" s="1" nd="1"/>
        <i x="67" s="1" nd="1"/>
        <i x="74" s="1" nd="1"/>
        <i x="75" s="1" nd="1"/>
        <i x="54" s="1" nd="1"/>
        <i x="14" s="1" nd="1"/>
        <i x="65" s="1" nd="1"/>
        <i x="58" s="1" nd="1"/>
        <i x="5" s="1" nd="1"/>
        <i x="3" s="1" nd="1"/>
        <i x="51" s="1" nd="1"/>
        <i x="47" s="1" nd="1"/>
        <i x="49" s="1" nd="1"/>
        <i x="84" s="1" nd="1"/>
        <i x="85" s="1" nd="1"/>
        <i x="44" s="1" nd="1"/>
        <i x="6" s="1" nd="1"/>
        <i x="35" s="1" nd="1"/>
        <i x="16" s="1" nd="1"/>
        <i x="45" s="1" nd="1"/>
        <i x="48" s="1" nd="1"/>
        <i x="50" s="1" nd="1"/>
        <i x="46" s="1" nd="1"/>
        <i x="34" s="1" nd="1"/>
        <i x="33" s="1" nd="1"/>
        <i x="64" s="1" nd="1"/>
        <i x="63" s="1" nd="1"/>
        <i x="69" s="1" nd="1"/>
        <i x="72" s="1" nd="1"/>
        <i x="71" s="1" nd="1"/>
        <i x="8" s="1" nd="1"/>
        <i x="60" s="1" nd="1"/>
        <i x="59" s="1" nd="1"/>
        <i x="61" s="1" nd="1"/>
        <i x="73" s="1" nd="1"/>
        <i x="70" s="1" nd="1"/>
        <i x="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 xr10:uid="{0EDCC588-403F-4E67-ADE0-417B841CA2A6}" sourceName="Material">
  <pivotTables>
    <pivotTable tabId="3" name="PivotTable1"/>
  </pivotTables>
  <data>
    <tabular pivotCacheId="670781296">
      <items count="24">
        <i x="4" s="1" nd="1"/>
        <i x="22" s="1" nd="1"/>
        <i x="20" s="1" nd="1"/>
        <i x="23" s="1" nd="1"/>
        <i x="19" s="1" nd="1"/>
        <i x="11" s="1" nd="1"/>
        <i x="12" s="1" nd="1"/>
        <i x="15" s="1" nd="1"/>
        <i x="1" s="1" nd="1"/>
        <i x="9" s="1" nd="1"/>
        <i x="3" s="1" nd="1"/>
        <i x="21" s="1" nd="1"/>
        <i x="16" s="1" nd="1"/>
        <i x="5" s="1" nd="1"/>
        <i x="17" s="1" nd="1"/>
        <i x="10" s="1" nd="1"/>
        <i x="2" s="1" nd="1"/>
        <i x="18" s="1" nd="1"/>
        <i x="14" s="1" nd="1"/>
        <i x="7" s="1" nd="1"/>
        <i x="8" s="1" nd="1"/>
        <i x="13" s="1" nd="1"/>
        <i x="6" s="1" nd="1"/>
        <i x="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ol" xr10:uid="{3C88A81B-E405-42A9-9688-20F170C83405}" sourceName="Spool">
  <pivotTables>
    <pivotTable tabId="3" name="PivotTable1"/>
  </pivotTables>
  <data>
    <tabular pivotCacheId="670781296">
      <items count="5">
        <i x="3" s="1" nd="1"/>
        <i x="4" s="1" nd="1"/>
        <i x="1" s="1" nd="1"/>
        <i x="2" s="1" nd="1"/>
        <i x="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2BBCEDFA-46DE-4F0F-91D0-57FD5DBB9797}" sourceName="Area">
  <pivotTables>
    <pivotTable tabId="3" name="PivotTable1"/>
  </pivotTables>
  <data>
    <tabular pivotCacheId="670781296">
      <items count="3">
        <i x="1" s="1" nd="1"/>
        <i x="2" s="1" nd="1"/>
        <i x="0"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95640D55-E5C0-436C-91E9-3525193EBCCD}" sourceName="Service">
  <pivotTables>
    <pivotTable tabId="3" name="PivotTable1"/>
  </pivotTables>
  <data>
    <tabular pivotCacheId="670781296">
      <items count="21">
        <i x="4" s="1" nd="1"/>
        <i x="19" s="1" nd="1"/>
        <i x="17" s="1" nd="1"/>
        <i x="18" s="1" nd="1"/>
        <i x="16" s="1" nd="1"/>
        <i x="8" s="1" nd="1"/>
        <i x="2" s="1" nd="1"/>
        <i x="14" s="1" nd="1"/>
        <i x="1" s="1" nd="1"/>
        <i x="3" s="1" nd="1"/>
        <i x="7" s="1" nd="1"/>
        <i x="5" s="1" nd="1"/>
        <i x="6" s="1" nd="1"/>
        <i x="13" s="1" nd="1"/>
        <i x="12" s="1" nd="1"/>
        <i x="11" s="1" nd="1"/>
        <i x="9" s="1" nd="1"/>
        <i x="10" s="1" nd="1"/>
        <i x="15" s="1" nd="1"/>
        <i x="20" s="1" nd="1"/>
        <i x="0"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all_Type" xr10:uid="{FF4A039D-0550-4D79-A839-9627EE723DD7}" sourceName="Install Type">
  <pivotTables>
    <pivotTable tabId="3" name="PivotTable1"/>
  </pivotTables>
  <data>
    <tabular pivotCacheId="670781296">
      <items count="17">
        <i x="1" s="1" nd="1"/>
        <i x="6" s="1" nd="1"/>
        <i x="11" s="1" nd="1"/>
        <i x="16" s="1" nd="1"/>
        <i x="9" s="1" nd="1"/>
        <i x="8" s="1" nd="1"/>
        <i x="15" s="1" nd="1"/>
        <i x="14" s="1" nd="1"/>
        <i x="4" s="1" nd="1"/>
        <i x="3" s="1" nd="1"/>
        <i x="2" s="1" nd="1"/>
        <i x="12" s="1" nd="1"/>
        <i x="13" s="1" nd="1"/>
        <i x="7" s="1" nd="1"/>
        <i x="5" s="1" nd="1"/>
        <i x="10" s="1" nd="1"/>
        <i x="0"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1B8B1747-DEDE-4F18-8509-08A5DC1E0633}" sourceName="Description">
  <pivotTables>
    <pivotTable tabId="4" name="PivotTable3"/>
  </pivotTables>
  <data>
    <tabular pivotCacheId="670781296">
      <items count="183">
        <i x="157" s="1" nd="1"/>
        <i x="95" s="1" nd="1"/>
        <i x="96" s="1" nd="1"/>
        <i x="7" s="1" nd="1"/>
        <i x="46" s="1" nd="1"/>
        <i x="47" s="1" nd="1"/>
        <i x="48" s="1" nd="1"/>
        <i x="49" s="1" nd="1"/>
        <i x="50" s="1" nd="1"/>
        <i x="86" s="1" nd="1"/>
        <i x="51" s="1" nd="1"/>
        <i x="141" s="1" nd="1"/>
        <i x="52" s="1" nd="1"/>
        <i x="163" s="1" nd="1"/>
        <i x="53" s="1" nd="1"/>
        <i x="158" s="1" nd="1"/>
        <i x="159" s="1" nd="1"/>
        <i x="174" s="1" nd="1"/>
        <i x="165" s="1" nd="1"/>
        <i x="19" s="1" nd="1"/>
        <i x="166" s="1" nd="1"/>
        <i x="20" s="1" nd="1"/>
        <i x="97" s="1" nd="1"/>
        <i x="167" s="1" nd="1"/>
        <i x="42" s="1" nd="1"/>
        <i x="43" s="1" nd="1"/>
        <i x="44" s="1" nd="1"/>
        <i x="87" s="1" nd="1"/>
        <i x="88" s="1" nd="1"/>
        <i x="3" s="1" nd="1"/>
        <i x="139" s="1" nd="1"/>
        <i x="140" s="1" nd="1"/>
        <i x="1" s="1" nd="1"/>
        <i x="18" s="1" nd="1"/>
        <i x="54" s="1" nd="1"/>
        <i x="55" s="1" nd="1"/>
        <i x="56" s="1" nd="1"/>
        <i x="57" s="1" nd="1"/>
        <i x="58" s="1" nd="1"/>
        <i x="21" s="1" nd="1"/>
        <i x="45" s="1" nd="1"/>
        <i x="59" s="1" nd="1"/>
        <i x="60" s="1" nd="1"/>
        <i x="61" s="1" nd="1"/>
        <i x="62" s="1" nd="1"/>
        <i x="142" s="1" nd="1"/>
        <i x="63" s="1" nd="1"/>
        <i x="64" s="1" nd="1"/>
        <i x="65" s="1" nd="1"/>
        <i x="66" s="1" nd="1"/>
        <i x="67" s="1" nd="1"/>
        <i x="160" s="1" nd="1"/>
        <i x="143" s="1" nd="1"/>
        <i x="144" s="1" nd="1"/>
        <i x="145" s="1" nd="1"/>
        <i x="68" s="1" nd="1"/>
        <i x="146" s="1" nd="1"/>
        <i x="168" s="1" nd="1"/>
        <i x="69" s="1" nd="1"/>
        <i x="8" s="1" nd="1"/>
        <i x="9" s="1" nd="1"/>
        <i x="147" s="1" nd="1"/>
        <i x="70" s="1" nd="1"/>
        <i x="103" s="1" nd="1"/>
        <i x="135" s="1" nd="1"/>
        <i x="2" s="1" nd="1"/>
        <i x="33" s="1" nd="1"/>
        <i x="104" s="1" nd="1"/>
        <i x="178" s="1" nd="1"/>
        <i x="105" s="1" nd="1"/>
        <i x="101" s="1" nd="1"/>
        <i x="125" s="1" nd="1"/>
        <i x="126" s="1" nd="1"/>
        <i x="149" s="1" nd="1"/>
        <i x="92" s="1" nd="1"/>
        <i x="180" s="1" nd="1"/>
        <i x="155" s="1" nd="1"/>
        <i x="150" s="1" nd="1"/>
        <i x="41" s="1" nd="1"/>
        <i x="136" s="1" nd="1"/>
        <i x="28" s="1" nd="1"/>
        <i x="22" s="1" nd="1"/>
        <i x="23" s="1" nd="1"/>
        <i x="25" s="1" nd="1"/>
        <i x="148" s="1" nd="1"/>
        <i x="71" s="1" nd="1"/>
        <i x="182" s="1" nd="1"/>
        <i x="72" s="1" nd="1"/>
        <i x="73" s="1" nd="1"/>
        <i x="27" s="1" nd="1"/>
        <i x="134" s="1" nd="1"/>
        <i x="5" s="1" nd="1"/>
        <i x="161" s="1" nd="1"/>
        <i x="156" s="1" nd="1"/>
        <i x="16" s="1" nd="1"/>
        <i x="15" s="1" nd="1"/>
        <i x="26" s="1" nd="1"/>
        <i x="29" s="1" nd="1"/>
        <i x="30" s="1" nd="1"/>
        <i x="151" s="1" nd="1"/>
        <i x="106" s="1" nd="1"/>
        <i x="107" s="1" nd="1"/>
        <i x="108" s="1" nd="1"/>
        <i x="109" s="1" nd="1"/>
        <i x="110" s="1" nd="1"/>
        <i x="34" s="1" nd="1"/>
        <i x="111" s="1" nd="1"/>
        <i x="152" s="1" nd="1"/>
        <i x="31" s="1" nd="1"/>
        <i x="32" s="1" nd="1"/>
        <i x="74" s="1" nd="1"/>
        <i x="169" s="1" nd="1"/>
        <i x="170" s="1" nd="1"/>
        <i x="171" s="1" nd="1"/>
        <i x="172" s="1" nd="1"/>
        <i x="98" s="1" nd="1"/>
        <i x="173" s="1" nd="1"/>
        <i x="99" s="1" nd="1"/>
        <i x="100" s="1" nd="1"/>
        <i x="153" s="1" nd="1"/>
        <i x="75" s="1" nd="1"/>
        <i x="93" s="1" nd="1"/>
        <i x="94" s="1" nd="1"/>
        <i x="137" s="1" nd="1"/>
        <i x="4" s="1" nd="1"/>
        <i x="175" s="1" nd="1"/>
        <i x="127" s="1" nd="1"/>
        <i x="176" s="1" nd="1"/>
        <i x="177" s="1" nd="1"/>
        <i x="128" s="1" nd="1"/>
        <i x="129" s="1" nd="1"/>
        <i x="130" s="1" nd="1"/>
        <i x="131" s="1" nd="1"/>
        <i x="132" s="1" nd="1"/>
        <i x="76" s="1" nd="1"/>
        <i x="77" s="1" nd="1"/>
        <i x="78" s="1" nd="1"/>
        <i x="154" s="1" nd="1"/>
        <i x="102" s="1" nd="1"/>
        <i x="164" s="1" nd="1"/>
        <i x="90" s="1" nd="1"/>
        <i x="179" s="1" nd="1"/>
        <i x="181" s="1" nd="1"/>
        <i x="35" s="1" nd="1"/>
        <i x="36" s="1" nd="1"/>
        <i x="37" s="1" nd="1"/>
        <i x="38" s="1" nd="1"/>
        <i x="39" s="1" nd="1"/>
        <i x="40" s="1" nd="1"/>
        <i x="133" s="1" nd="1"/>
        <i x="84" s="1" nd="1"/>
        <i x="24" s="1" nd="1"/>
        <i x="162" s="1" nd="1"/>
        <i x="112" s="1" nd="1"/>
        <i x="113" s="1" nd="1"/>
        <i x="79" s="1" nd="1"/>
        <i x="89" s="1" nd="1"/>
        <i x="6" s="1" nd="1"/>
        <i x="80" s="1" nd="1"/>
        <i x="85" s="1" nd="1"/>
        <i x="138" s="1" nd="1"/>
        <i x="91" s="1" nd="1"/>
        <i x="17" s="1" nd="1"/>
        <i x="114" s="1" nd="1"/>
        <i x="115" s="1" nd="1"/>
        <i x="116" s="1" nd="1"/>
        <i x="117" s="1" nd="1"/>
        <i x="118" s="1" nd="1"/>
        <i x="119" s="1" nd="1"/>
        <i x="81" s="1" nd="1"/>
        <i x="10" s="1" nd="1"/>
        <i x="82" s="1" nd="1"/>
        <i x="11" s="1" nd="1"/>
        <i x="12" s="1" nd="1"/>
        <i x="83" s="1" nd="1"/>
        <i x="13" s="1" nd="1"/>
        <i x="14" s="1" nd="1"/>
        <i x="120" s="1" nd="1"/>
        <i x="121" s="1" nd="1"/>
        <i x="122" s="1" nd="1"/>
        <i x="123" s="1" nd="1"/>
        <i x="124" s="1" nd="1"/>
        <i x="0"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E7D2D9AA-6F9A-4EE9-A648-683CB717875B}" sourceName="Size">
  <pivotTables>
    <pivotTable tabId="4" name="PivotTable3"/>
  </pivotTables>
  <data>
    <tabular pivotCacheId="670781296">
      <items count="86">
        <i x="13" s="1" nd="1"/>
        <i x="76" s="1" nd="1"/>
        <i x="22" s="1" nd="1"/>
        <i x="80" s="1" nd="1"/>
        <i x="39" s="1" nd="1"/>
        <i x="42" s="1" nd="1"/>
        <i x="40" s="1" nd="1"/>
        <i x="29" s="1" nd="1"/>
        <i x="21" s="1" nd="1"/>
        <i x="82" s="1" nd="1"/>
        <i x="37" s="1" nd="1"/>
        <i x="38" s="1" nd="1"/>
        <i x="28" s="1" nd="1"/>
        <i x="32" s="1" nd="1"/>
        <i x="27" s="1" nd="1"/>
        <i x="66" s="1" nd="1"/>
        <i x="68" s="1" nd="1"/>
        <i x="31" s="1" nd="1"/>
        <i x="57" s="1" nd="1"/>
        <i x="15" s="1" nd="1"/>
        <i x="36" s="1" nd="1"/>
        <i x="23" s="1" nd="1"/>
        <i x="24" s="1" nd="1"/>
        <i x="62" s="1" nd="1"/>
        <i x="17" s="1" nd="1"/>
        <i x="20" s="1" nd="1"/>
        <i x="25" s="1" nd="1"/>
        <i x="10" s="1" nd="1"/>
        <i x="9" s="1" nd="1"/>
        <i x="11" s="1" nd="1"/>
        <i x="78" s="1" nd="1"/>
        <i x="55" s="1" nd="1"/>
        <i x="1" s="1" nd="1"/>
        <i x="7" s="1" nd="1"/>
        <i x="4" s="1" nd="1"/>
        <i x="77" s="1" nd="1"/>
        <i x="79" s="1" nd="1"/>
        <i x="56" s="1" nd="1"/>
        <i x="18" s="1" nd="1"/>
        <i x="83" s="1" nd="1"/>
        <i x="81" s="1" nd="1"/>
        <i x="12" s="1" nd="1"/>
        <i x="53" s="1" nd="1"/>
        <i x="52" s="1" nd="1"/>
        <i x="43" s="1" nd="1"/>
        <i x="19" s="1" nd="1"/>
        <i x="26" s="1" nd="1"/>
        <i x="41" s="1" nd="1"/>
        <i x="30" s="1" nd="1"/>
        <i x="2" s="1" nd="1"/>
        <i x="67" s="1" nd="1"/>
        <i x="74" s="1" nd="1"/>
        <i x="75" s="1" nd="1"/>
        <i x="54" s="1" nd="1"/>
        <i x="14" s="1" nd="1"/>
        <i x="65" s="1" nd="1"/>
        <i x="58" s="1" nd="1"/>
        <i x="5" s="1" nd="1"/>
        <i x="3" s="1" nd="1"/>
        <i x="51" s="1" nd="1"/>
        <i x="47" s="1" nd="1"/>
        <i x="49" s="1" nd="1"/>
        <i x="84" s="1" nd="1"/>
        <i x="85" s="1" nd="1"/>
        <i x="44" s="1" nd="1"/>
        <i x="6" s="1" nd="1"/>
        <i x="35" s="1" nd="1"/>
        <i x="16" s="1" nd="1"/>
        <i x="45" s="1" nd="1"/>
        <i x="48" s="1" nd="1"/>
        <i x="50" s="1" nd="1"/>
        <i x="46" s="1" nd="1"/>
        <i x="34" s="1" nd="1"/>
        <i x="33" s="1" nd="1"/>
        <i x="64" s="1" nd="1"/>
        <i x="63" s="1" nd="1"/>
        <i x="69" s="1" nd="1"/>
        <i x="72" s="1" nd="1"/>
        <i x="71" s="1" nd="1"/>
        <i x="8" s="1" nd="1"/>
        <i x="60" s="1" nd="1"/>
        <i x="59" s="1" nd="1"/>
        <i x="61" s="1" nd="1"/>
        <i x="73" s="1" nd="1"/>
        <i x="70" s="1" nd="1"/>
        <i x="0"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ngth_ft_in" xr10:uid="{DF22A621-7FF9-4FAA-B96F-38D3DE1AC32D}" sourceName="Length_ft_in">
  <pivotTables>
    <pivotTable tabId="4" name="PivotTable3"/>
  </pivotTables>
  <data>
    <tabular pivotCacheId="670781296">
      <items count="111">
        <i x="49" s="1" nd="1"/>
        <i x="102" s="1" nd="1"/>
        <i x="1" s="1" nd="1"/>
        <i x="46" s="1" nd="1"/>
        <i x="86" s="1" nd="1"/>
        <i x="18" s="1" nd="1"/>
        <i x="21" s="1" nd="1"/>
        <i x="47" s="1" nd="1"/>
        <i x="74" s="1" nd="1"/>
        <i x="48" s="1" nd="1"/>
        <i x="62" s="1" nd="1"/>
        <i x="78" s="1" nd="1"/>
        <i x="44" s="1" nd="1"/>
        <i x="58" s="1" nd="1"/>
        <i x="45" s="1" nd="1"/>
        <i x="57" s="1" nd="1"/>
        <i x="99" s="1" nd="1"/>
        <i x="26" s="1" nd="1"/>
        <i x="84" s="1" nd="1"/>
        <i x="92" s="1" nd="1"/>
        <i x="96" s="1" nd="1"/>
        <i x="28" s="1" nd="1"/>
        <i x="82" s="1" nd="1"/>
        <i x="23" s="1" nd="1"/>
        <i x="22" s="1" nd="1"/>
        <i x="89" s="1" nd="1"/>
        <i x="20" s="1" nd="1"/>
        <i x="103" s="1" nd="1"/>
        <i x="27" s="1" nd="1"/>
        <i x="29" s="1" nd="1"/>
        <i x="100" s="1" nd="1"/>
        <i x="19" s="1" nd="1"/>
        <i x="79" s="1" nd="1"/>
        <i x="98" s="1" nd="1"/>
        <i x="35" s="1" nd="1"/>
        <i x="9" s="1" nd="1"/>
        <i x="42" s="1" nd="1"/>
        <i x="38" s="1" nd="1"/>
        <i x="59" s="1" nd="1"/>
        <i x="68" s="1" nd="1"/>
        <i x="25" s="1" nd="1"/>
        <i x="24" s="1" nd="1"/>
        <i x="67" s="1" nd="1"/>
        <i x="66" s="1" nd="1"/>
        <i x="97" s="1" nd="1"/>
        <i x="65" s="1" nd="1"/>
        <i x="91" s="1" nd="1"/>
        <i x="93" s="1" nd="1"/>
        <i x="81" s="1" nd="1"/>
        <i x="55" s="1" nd="1"/>
        <i x="53" s="1" nd="1"/>
        <i x="41" s="1" nd="1"/>
        <i x="85" s="1" nd="1"/>
        <i x="32" s="1" nd="1"/>
        <i x="37" s="1" nd="1"/>
        <i x="15" s="1" nd="1"/>
        <i x="6" s="1" nd="1"/>
        <i x="87" s="1" nd="1"/>
        <i x="40" s="1" nd="1"/>
        <i x="107" s="1" nd="1"/>
        <i x="69" s="1" nd="1"/>
        <i x="83" s="1" nd="1"/>
        <i x="64" s="1" nd="1"/>
        <i x="61" s="1" nd="1"/>
        <i x="106" s="1" nd="1"/>
        <i x="50" s="1" nd="1"/>
        <i x="101" s="1" nd="1"/>
        <i x="31" s="1" nd="1"/>
        <i x="95" s="1" nd="1"/>
        <i x="73" s="1" nd="1"/>
        <i x="56" s="1" nd="1"/>
        <i x="51" s="1" nd="1"/>
        <i x="3" s="1" nd="1"/>
        <i x="94" s="1" nd="1"/>
        <i x="30" s="1" nd="1"/>
        <i x="34" s="1" nd="1"/>
        <i x="5" s="1" nd="1"/>
        <i x="77" s="1" nd="1"/>
        <i x="4" s="1" nd="1"/>
        <i x="33" s="1" nd="1"/>
        <i x="104" s="1" nd="1"/>
        <i x="63" s="1" nd="1"/>
        <i x="108" s="1" nd="1"/>
        <i x="75" s="1" nd="1"/>
        <i x="39" s="1" nd="1"/>
        <i x="71" s="1" nd="1"/>
        <i x="54" s="1" nd="1"/>
        <i x="90" s="1" nd="1"/>
        <i x="10" s="1" nd="1"/>
        <i x="60" s="1" nd="1"/>
        <i x="80" s="1" nd="1"/>
        <i x="110" s="1" nd="1"/>
        <i x="2" s="1" nd="1"/>
        <i x="17" s="1" nd="1"/>
        <i x="7" s="1" nd="1"/>
        <i x="105" s="1" nd="1"/>
        <i x="14" s="1" nd="1"/>
        <i x="12" s="1" nd="1"/>
        <i x="36" s="1" nd="1"/>
        <i x="11" s="1" nd="1"/>
        <i x="43" s="1" nd="1"/>
        <i x="52" s="1" nd="1"/>
        <i x="13" s="1" nd="1"/>
        <i x="8" s="1" nd="1"/>
        <i x="76" s="1" nd="1"/>
        <i x="88" s="1" nd="1"/>
        <i x="109" s="1" nd="1"/>
        <i x="72" s="1" nd="1"/>
        <i x="70" s="1" nd="1"/>
        <i x="16" s="1" nd="1"/>
        <i x="0" s="1"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A0122378-A216-4541-82CB-D5DDEC23573A}" sourceName="Area">
  <pivotTables>
    <pivotTable tabId="4" name="PivotTable3"/>
  </pivotTables>
  <data>
    <tabular pivotCacheId="670781296">
      <items count="3">
        <i x="1" s="1" nd="1"/>
        <i x="2" s="1" nd="1"/>
        <i x="0" s="1"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1" xr10:uid="{3A812406-C1BB-44D7-AE8C-8EE8ECBDCF16}" sourceName="Description">
  <pivotTables>
    <pivotTable tabId="3" name="PivotTable1"/>
  </pivotTables>
  <data>
    <tabular pivotCacheId="670781296">
      <items count="183">
        <i x="157" s="1" nd="1"/>
        <i x="95" s="1" nd="1"/>
        <i x="96" s="1" nd="1"/>
        <i x="7" s="1" nd="1"/>
        <i x="46" s="1" nd="1"/>
        <i x="47" s="1" nd="1"/>
        <i x="48" s="1" nd="1"/>
        <i x="49" s="1" nd="1"/>
        <i x="50" s="1" nd="1"/>
        <i x="86" s="1" nd="1"/>
        <i x="51" s="1" nd="1"/>
        <i x="141" s="1" nd="1"/>
        <i x="52" s="1" nd="1"/>
        <i x="163" s="1" nd="1"/>
        <i x="53" s="1" nd="1"/>
        <i x="158" s="1" nd="1"/>
        <i x="159" s="1" nd="1"/>
        <i x="174" s="1" nd="1"/>
        <i x="165" s="1" nd="1"/>
        <i x="19" s="1" nd="1"/>
        <i x="166" s="1" nd="1"/>
        <i x="20" s="1" nd="1"/>
        <i x="97" s="1" nd="1"/>
        <i x="167" s="1" nd="1"/>
        <i x="42" s="1" nd="1"/>
        <i x="43" s="1" nd="1"/>
        <i x="44" s="1" nd="1"/>
        <i x="87" s="1" nd="1"/>
        <i x="88" s="1" nd="1"/>
        <i x="3" s="1" nd="1"/>
        <i x="139" s="1" nd="1"/>
        <i x="140" s="1" nd="1"/>
        <i x="1" s="1" nd="1"/>
        <i x="18" s="1" nd="1"/>
        <i x="54" s="1" nd="1"/>
        <i x="55" s="1" nd="1"/>
        <i x="56" s="1" nd="1"/>
        <i x="57" s="1" nd="1"/>
        <i x="58" s="1" nd="1"/>
        <i x="21" s="1" nd="1"/>
        <i x="45" s="1" nd="1"/>
        <i x="59" s="1" nd="1"/>
        <i x="60" s="1" nd="1"/>
        <i x="61" s="1" nd="1"/>
        <i x="62" s="1" nd="1"/>
        <i x="142" s="1" nd="1"/>
        <i x="63" s="1" nd="1"/>
        <i x="64" s="1" nd="1"/>
        <i x="65" s="1" nd="1"/>
        <i x="66" s="1" nd="1"/>
        <i x="67" s="1" nd="1"/>
        <i x="160" s="1" nd="1"/>
        <i x="143" s="1" nd="1"/>
        <i x="144" s="1" nd="1"/>
        <i x="145" s="1" nd="1"/>
        <i x="68" s="1" nd="1"/>
        <i x="146" s="1" nd="1"/>
        <i x="168" s="1" nd="1"/>
        <i x="69" s="1" nd="1"/>
        <i x="8" s="1" nd="1"/>
        <i x="9" s="1" nd="1"/>
        <i x="147" s="1" nd="1"/>
        <i x="70" s="1" nd="1"/>
        <i x="103" s="1" nd="1"/>
        <i x="135" s="1" nd="1"/>
        <i x="2" s="1" nd="1"/>
        <i x="33" s="1" nd="1"/>
        <i x="104" s="1" nd="1"/>
        <i x="178" s="1" nd="1"/>
        <i x="105" s="1" nd="1"/>
        <i x="101" s="1" nd="1"/>
        <i x="125" s="1" nd="1"/>
        <i x="126" s="1" nd="1"/>
        <i x="149" s="1" nd="1"/>
        <i x="92" s="1" nd="1"/>
        <i x="180" s="1" nd="1"/>
        <i x="155" s="1" nd="1"/>
        <i x="150" s="1" nd="1"/>
        <i x="41" s="1" nd="1"/>
        <i x="136" s="1" nd="1"/>
        <i x="28" s="1" nd="1"/>
        <i x="22" s="1" nd="1"/>
        <i x="23" s="1" nd="1"/>
        <i x="25" s="1" nd="1"/>
        <i x="148" s="1" nd="1"/>
        <i x="71" s="1" nd="1"/>
        <i x="182" s="1" nd="1"/>
        <i x="72" s="1" nd="1"/>
        <i x="73" s="1" nd="1"/>
        <i x="27" s="1" nd="1"/>
        <i x="134" s="1" nd="1"/>
        <i x="5" s="1" nd="1"/>
        <i x="161" s="1" nd="1"/>
        <i x="156" s="1" nd="1"/>
        <i x="16" s="1" nd="1"/>
        <i x="15" s="1" nd="1"/>
        <i x="26" s="1" nd="1"/>
        <i x="29" s="1" nd="1"/>
        <i x="30" s="1" nd="1"/>
        <i x="151" s="1" nd="1"/>
        <i x="106" s="1" nd="1"/>
        <i x="107" s="1" nd="1"/>
        <i x="108" s="1" nd="1"/>
        <i x="109" s="1" nd="1"/>
        <i x="110" s="1" nd="1"/>
        <i x="34" s="1" nd="1"/>
        <i x="111" s="1" nd="1"/>
        <i x="152" s="1" nd="1"/>
        <i x="31" s="1" nd="1"/>
        <i x="32" s="1" nd="1"/>
        <i x="74" s="1" nd="1"/>
        <i x="169" s="1" nd="1"/>
        <i x="170" s="1" nd="1"/>
        <i x="171" s="1" nd="1"/>
        <i x="172" s="1" nd="1"/>
        <i x="98" s="1" nd="1"/>
        <i x="173" s="1" nd="1"/>
        <i x="99" s="1" nd="1"/>
        <i x="100" s="1" nd="1"/>
        <i x="153" s="1" nd="1"/>
        <i x="75" s="1" nd="1"/>
        <i x="93" s="1" nd="1"/>
        <i x="94" s="1" nd="1"/>
        <i x="137" s="1" nd="1"/>
        <i x="4" s="1" nd="1"/>
        <i x="175" s="1" nd="1"/>
        <i x="127" s="1" nd="1"/>
        <i x="176" s="1" nd="1"/>
        <i x="177" s="1" nd="1"/>
        <i x="128" s="1" nd="1"/>
        <i x="129" s="1" nd="1"/>
        <i x="130" s="1" nd="1"/>
        <i x="131" s="1" nd="1"/>
        <i x="132" s="1" nd="1"/>
        <i x="76" s="1" nd="1"/>
        <i x="77" s="1" nd="1"/>
        <i x="78" s="1" nd="1"/>
        <i x="154" s="1" nd="1"/>
        <i x="102" s="1" nd="1"/>
        <i x="164" s="1" nd="1"/>
        <i x="90" s="1" nd="1"/>
        <i x="179" s="1" nd="1"/>
        <i x="181" s="1" nd="1"/>
        <i x="35" s="1" nd="1"/>
        <i x="36" s="1" nd="1"/>
        <i x="37" s="1" nd="1"/>
        <i x="38" s="1" nd="1"/>
        <i x="39" s="1" nd="1"/>
        <i x="40" s="1" nd="1"/>
        <i x="133" s="1" nd="1"/>
        <i x="84" s="1" nd="1"/>
        <i x="24" s="1" nd="1"/>
        <i x="162" s="1" nd="1"/>
        <i x="112" s="1" nd="1"/>
        <i x="113" s="1" nd="1"/>
        <i x="79" s="1" nd="1"/>
        <i x="89" s="1" nd="1"/>
        <i x="6" s="1" nd="1"/>
        <i x="80" s="1" nd="1"/>
        <i x="85" s="1" nd="1"/>
        <i x="138" s="1" nd="1"/>
        <i x="91" s="1" nd="1"/>
        <i x="17" s="1" nd="1"/>
        <i x="114" s="1" nd="1"/>
        <i x="115" s="1" nd="1"/>
        <i x="116" s="1" nd="1"/>
        <i x="117" s="1" nd="1"/>
        <i x="118" s="1" nd="1"/>
        <i x="119" s="1" nd="1"/>
        <i x="81" s="1" nd="1"/>
        <i x="10" s="1" nd="1"/>
        <i x="82" s="1" nd="1"/>
        <i x="11" s="1" nd="1"/>
        <i x="12" s="1" nd="1"/>
        <i x="83" s="1" nd="1"/>
        <i x="13" s="1" nd="1"/>
        <i x="14" s="1" nd="1"/>
        <i x="120" s="1" nd="1"/>
        <i x="121" s="1" nd="1"/>
        <i x="122" s="1" nd="1"/>
        <i x="123" s="1" nd="1"/>
        <i x="124" s="1" nd="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DC20962-9F28-4FFD-A97F-F6B096794875}" cache="Slicer_Size" caption="Size" style="SlicerStyleOther1" rowHeight="257175"/>
  <slicer name="Material" xr10:uid="{D5DC769D-979A-4066-BFEE-6B4D9D2CC575}" cache="Slicer_Material" caption="Material" style="SlicerStyleOther1" rowHeight="257175"/>
  <slicer name="Spool" xr10:uid="{EA8E8D71-1966-4CB8-AC80-3CDC733E5CB7}" cache="Slicer_Spool" caption="Spool" style="SlicerStyleOther1" rowHeight="257175"/>
  <slicer name="Area" xr10:uid="{77CEC0AC-A3F1-4EEC-BC9F-8CC31CF9C8EE}" cache="Slicer_Area" caption="Area" style="SlicerStyleOther1" rowHeight="257175"/>
  <slicer name="Service" xr10:uid="{4BFEFD2F-6E38-4B0E-B0DE-5131045C6440}" cache="Slicer_Service" caption="Service" style="SlicerStyleOther1" rowHeight="257175"/>
  <slicer name="Install Type" xr10:uid="{FDB7910B-5B68-4918-B9BC-A93811B1280B}" cache="Slicer_Install_Type" caption="Install Type" style="SlicerStyleOther1" rowHeight="257175"/>
  <slicer name="Description 1" xr10:uid="{21DFA6DF-7546-4265-BBF6-9972C7EA2243}" cache="Slicer_Description1" caption="Description" style="SlicerStyleOther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xr10:uid="{BC6C44CA-98DD-45F0-B451-7D2C93523A68}" cache="Slicer_Description" caption="Description" style="SlicerStyleOther1" rowHeight="257175"/>
  <slicer name="Size 1" xr10:uid="{AE89EE35-646C-4B0F-BF96-4EDE8DFC957C}" cache="Slicer_Size1" caption="Size" style="SlicerStyleOther1" rowHeight="257175"/>
  <slicer name="Length" xr10:uid="{9388AC22-EEEA-49AB-BF51-9B6B45A5D635}" cache="Slicer_Length_ft_in" caption="Length" style="SlicerStyleOther1" rowHeight="257175"/>
  <slicer name="Area 1" xr10:uid="{A4FDAA29-30C2-41F4-9742-2D150C4CFF40}" cache="Slicer_Area1" caption="Area" style="SlicerStyleOther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4D6FD-3BCC-4D0C-B740-6D461EE28EA8}">
  <sheetPr>
    <tabColor theme="9" tint="0.39997558519241921"/>
  </sheetPr>
  <dimension ref="A1:G3"/>
  <sheetViews>
    <sheetView topLeftCell="B1" zoomScale="85" zoomScaleNormal="85" workbookViewId="0">
      <selection activeCell="I61" sqref="I61"/>
    </sheetView>
  </sheetViews>
  <sheetFormatPr defaultRowHeight="14.4" x14ac:dyDescent="0.3"/>
  <cols>
    <col min="1" max="1" width="13.44140625" hidden="1" customWidth="1"/>
    <col min="2" max="2" width="13.21875" bestFit="1" customWidth="1"/>
    <col min="3" max="3" width="6.88671875" bestFit="1" customWidth="1"/>
    <col min="4" max="4" width="8.5546875" bestFit="1" customWidth="1"/>
    <col min="5" max="5" width="10.44140625" bestFit="1" customWidth="1"/>
    <col min="6" max="6" width="9.5546875" bestFit="1" customWidth="1"/>
    <col min="7" max="7" width="10.33203125" bestFit="1" customWidth="1"/>
  </cols>
  <sheetData>
    <row r="1" spans="1:7" x14ac:dyDescent="0.3">
      <c r="A1" s="1" t="s">
        <v>21</v>
      </c>
      <c r="B1" s="5" t="s">
        <v>4</v>
      </c>
      <c r="C1" s="5" t="s">
        <v>5</v>
      </c>
      <c r="D1" s="5" t="s">
        <v>11</v>
      </c>
      <c r="E1" s="5" t="s">
        <v>13</v>
      </c>
      <c r="F1" s="6" t="s">
        <v>20</v>
      </c>
      <c r="G1" s="6" t="s">
        <v>24</v>
      </c>
    </row>
    <row r="2" spans="1:7" x14ac:dyDescent="0.3">
      <c r="A2" s="2" t="s">
        <v>22</v>
      </c>
      <c r="B2" s="7" t="s">
        <v>22</v>
      </c>
      <c r="C2" s="7" t="s">
        <v>22</v>
      </c>
      <c r="D2" s="7" t="s">
        <v>22</v>
      </c>
      <c r="E2" s="7" t="s">
        <v>22</v>
      </c>
      <c r="F2" s="4"/>
      <c r="G2" s="4"/>
    </row>
    <row r="3" spans="1:7" x14ac:dyDescent="0.3">
      <c r="A3" s="2" t="s">
        <v>23</v>
      </c>
      <c r="B3" s="6"/>
      <c r="C3" s="6"/>
      <c r="D3" s="6"/>
      <c r="E3" s="6"/>
      <c r="F3" s="4"/>
      <c r="G3"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0130A-F80F-4966-B682-E1AD6DF97C9D}">
  <sheetPr>
    <tabColor theme="5" tint="0.39997558519241921"/>
  </sheetPr>
  <dimension ref="A1:F5"/>
  <sheetViews>
    <sheetView topLeftCell="B2" workbookViewId="0">
      <selection activeCell="W25" sqref="W25"/>
    </sheetView>
  </sheetViews>
  <sheetFormatPr defaultRowHeight="14.4" x14ac:dyDescent="0.3"/>
  <cols>
    <col min="1" max="1" width="13.88671875" hidden="1" customWidth="1"/>
    <col min="2" max="2" width="13.44140625" bestFit="1" customWidth="1"/>
    <col min="3" max="3" width="7.21875" bestFit="1" customWidth="1"/>
    <col min="4" max="4" width="10.21875" bestFit="1" customWidth="1"/>
    <col min="5" max="5" width="9.109375" bestFit="1" customWidth="1"/>
    <col min="6" max="6" width="6.33203125" bestFit="1" customWidth="1"/>
  </cols>
  <sheetData>
    <row r="1" spans="1:6" ht="19.2" hidden="1" x14ac:dyDescent="0.3">
      <c r="A1" s="1" t="s">
        <v>25</v>
      </c>
      <c r="B1" t="s">
        <v>22</v>
      </c>
    </row>
    <row r="3" spans="1:6" x14ac:dyDescent="0.3">
      <c r="A3" s="1" t="s">
        <v>4</v>
      </c>
      <c r="B3" s="1" t="s">
        <v>4</v>
      </c>
      <c r="C3" s="1" t="s">
        <v>5</v>
      </c>
      <c r="D3" s="1" t="s">
        <v>13</v>
      </c>
      <c r="E3" s="1" t="s">
        <v>19</v>
      </c>
      <c r="F3" t="s">
        <v>8</v>
      </c>
    </row>
    <row r="4" spans="1:6" x14ac:dyDescent="0.3">
      <c r="A4" s="2" t="s">
        <v>22</v>
      </c>
      <c r="B4" s="2" t="s">
        <v>22</v>
      </c>
      <c r="C4" s="2" t="s">
        <v>22</v>
      </c>
      <c r="D4" s="2" t="s">
        <v>22</v>
      </c>
      <c r="E4" s="2" t="s">
        <v>22</v>
      </c>
      <c r="F4" s="3"/>
    </row>
    <row r="5" spans="1:6" x14ac:dyDescent="0.3">
      <c r="A5" s="2" t="s">
        <v>23</v>
      </c>
      <c r="F5"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C006-ED43-4018-8477-E6D650B01C88}">
  <sheetPr>
    <tabColor rgb="FFFFFF00"/>
  </sheetPr>
  <dimension ref="A1:T1"/>
  <sheetViews>
    <sheetView tabSelected="1" workbookViewId="0">
      <pane ySplit="1" topLeftCell="A2" activePane="bottomLeft" state="frozen"/>
      <selection pane="bottomLeft"/>
    </sheetView>
  </sheetViews>
  <sheetFormatPr defaultRowHeight="14.4" x14ac:dyDescent="0.3"/>
  <cols>
    <col min="1" max="1" width="7.109375" bestFit="1" customWidth="1"/>
    <col min="2" max="2" width="24.33203125" bestFit="1" customWidth="1"/>
    <col min="3" max="3" width="39.88671875" bestFit="1" customWidth="1"/>
    <col min="4" max="4" width="24.5546875" bestFit="1" customWidth="1"/>
    <col min="5" max="5" width="12" bestFit="1" customWidth="1"/>
    <col min="6" max="6" width="44.6640625" bestFit="1" customWidth="1"/>
    <col min="7" max="7" width="6.109375" bestFit="1" customWidth="1"/>
    <col min="8" max="8" width="12" bestFit="1" customWidth="1"/>
    <col min="9" max="9" width="11.33203125" bestFit="1" customWidth="1"/>
    <col min="10" max="10" width="6.109375" bestFit="1" customWidth="1"/>
    <col min="11" max="11" width="10.33203125" bestFit="1" customWidth="1"/>
    <col min="12" max="12" width="24.5546875" bestFit="1" customWidth="1"/>
    <col min="13" max="13" width="31.6640625" customWidth="1"/>
    <col min="14" max="14" width="35.109375" bestFit="1" customWidth="1"/>
    <col min="15" max="15" width="10.44140625" bestFit="1" customWidth="1"/>
    <col min="16" max="16" width="6" bestFit="1" customWidth="1"/>
    <col min="17" max="17" width="29.109375" bestFit="1" customWidth="1"/>
    <col min="18" max="18" width="15" bestFit="1" customWidth="1"/>
    <col min="19" max="19" width="11" bestFit="1" customWidth="1"/>
  </cols>
  <sheetData>
    <row r="1" spans="1:20" x14ac:dyDescent="0.3">
      <c r="A1" t="s">
        <v>9</v>
      </c>
      <c r="B1" t="s">
        <v>0</v>
      </c>
      <c r="C1" t="s">
        <v>1</v>
      </c>
      <c r="D1" t="s">
        <v>2</v>
      </c>
      <c r="E1" t="s">
        <v>3</v>
      </c>
      <c r="F1" t="s">
        <v>4</v>
      </c>
      <c r="G1" t="s">
        <v>5</v>
      </c>
      <c r="H1" t="s">
        <v>6</v>
      </c>
      <c r="I1" t="s">
        <v>7</v>
      </c>
      <c r="J1" t="s">
        <v>8</v>
      </c>
      <c r="K1" t="s">
        <v>10</v>
      </c>
      <c r="L1" t="s">
        <v>11</v>
      </c>
      <c r="M1" t="s">
        <v>12</v>
      </c>
      <c r="N1" t="s">
        <v>13</v>
      </c>
      <c r="O1" t="s">
        <v>14</v>
      </c>
      <c r="P1" t="s">
        <v>15</v>
      </c>
      <c r="Q1" t="s">
        <v>16</v>
      </c>
      <c r="R1" t="s">
        <v>17</v>
      </c>
      <c r="S1" t="s">
        <v>18</v>
      </c>
      <c r="T1" t="s">
        <v>26</v>
      </c>
    </row>
  </sheetData>
  <pageMargins left="0.7" right="0.7" top="0.75" bottom="0.75" header="0.3" footer="0.3"/>
  <pageSetup orientation="portrait" r:id="rId1"/>
</worksheet>
</file>

<file path=docMetadata/LabelInfo.xml><?xml version="1.0" encoding="utf-8"?>
<clbl:labelList xmlns:clbl="http://schemas.microsoft.com/office/2020/mipLabelMetadata">
  <clbl:label id="{18bc7125-26f4-49fd-b7be-88c357fac9f3}" enabled="0" method="" siteId="{18bc7125-26f4-49fd-b7be-88c357fac9f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BOM</vt:lpstr>
      <vt:lpstr>Cut List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Gowey</dc:creator>
  <cp:lastModifiedBy>Jacob Gowey</cp:lastModifiedBy>
  <cp:lastPrinted>2025-12-30T22:32:31Z</cp:lastPrinted>
  <dcterms:created xsi:type="dcterms:W3CDTF">2025-12-30T15:51:36Z</dcterms:created>
  <dcterms:modified xsi:type="dcterms:W3CDTF">2026-02-18T16:43:04Z</dcterms:modified>
</cp:coreProperties>
</file>